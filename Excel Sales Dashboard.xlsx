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fb50ca115dedfaec/Desktop/excel/"/>
    </mc:Choice>
  </mc:AlternateContent>
  <xr:revisionPtr revIDLastSave="0" documentId="8_{9B24E570-C623-4F42-9CF2-2D0867A0D5E5}" xr6:coauthVersionLast="47" xr6:coauthVersionMax="47" xr10:uidLastSave="{00000000-0000-0000-0000-000000000000}"/>
  <bookViews>
    <workbookView xWindow="-110" yWindow="-110" windowWidth="19420" windowHeight="10300" firstSheet="3" activeTab="4" xr2:uid="{A0EB8AC4-9F89-458D-9E1C-3FB8E9167B3A}"/>
  </bookViews>
  <sheets>
    <sheet name="MONTH WISE REVENUE" sheetId="2" r:id="rId1"/>
    <sheet name="SALES PERSON WISE SALES " sheetId="3" r:id="rId2"/>
    <sheet name="REGION WISE PROFIT" sheetId="4" r:id="rId3"/>
    <sheet name="PERFORMACE OF PRODUCT" sheetId="5" r:id="rId4"/>
    <sheet name="DASHBOARD" sheetId="6" r:id="rId5"/>
    <sheet name="PRICING REGIONWISE" sheetId="7" r:id="rId6"/>
    <sheet name="sales_data" sheetId="1" r:id="rId7"/>
  </sheets>
  <definedNames>
    <definedName name="_xlnm._FilterDatabase" localSheetId="6" hidden="1">sales_data!$A$1:$M$51</definedName>
    <definedName name="_xlcn.WorksheetConnection_sales_dataA1M51" hidden="1">sales_data!$A$1:$M$51</definedName>
    <definedName name="Slicer_Category">#N/A</definedName>
    <definedName name="Slicer_Product">#N/A</definedName>
  </definedNames>
  <calcPr calcId="191029"/>
  <pivotCaches>
    <pivotCache cacheId="0" r:id="rId8"/>
    <pivotCache cacheId="1" r:id="rId9"/>
    <pivotCache cacheId="2" r:id="rId10"/>
    <pivotCache cacheId="3" r:id="rId11"/>
    <pivotCache cacheId="4"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ales_data!$A$1:$M$51"/>
        </x15:modelTables>
      </x15:dataModel>
    </ext>
  </extLst>
</workbook>
</file>

<file path=xl/calcChain.xml><?xml version="1.0" encoding="utf-8"?>
<calcChain xmlns="http://schemas.openxmlformats.org/spreadsheetml/2006/main">
  <c r="R12" i="1" l="1"/>
  <c r="S12" i="1"/>
  <c r="T1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DFE393-616A-4E04-9A9C-328178829C5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3FCFCB0-0935-4E67-87F4-AC341E0D84D9}" name="WorksheetConnection_sales_data!$A$1:$M$51" type="102" refreshedVersion="8" minRefreshableVersion="5">
    <extLst>
      <ext xmlns:x15="http://schemas.microsoft.com/office/spreadsheetml/2010/11/main" uri="{DE250136-89BD-433C-8126-D09CA5730AF9}">
        <x15:connection id="Range" autoDelete="1">
          <x15:rangePr sourceName="_xlcn.WorksheetConnection_sales_dataA1M51"/>
        </x15:connection>
      </ext>
    </extLst>
  </connection>
</connections>
</file>

<file path=xl/sharedStrings.xml><?xml version="1.0" encoding="utf-8"?>
<sst xmlns="http://schemas.openxmlformats.org/spreadsheetml/2006/main" count="364" uniqueCount="93">
  <si>
    <t>Order ID</t>
  </si>
  <si>
    <t>Date</t>
  </si>
  <si>
    <t>Salesperson</t>
  </si>
  <si>
    <t>Region</t>
  </si>
  <si>
    <t>Product</t>
  </si>
  <si>
    <t>Category</t>
  </si>
  <si>
    <t>Units Sold</t>
  </si>
  <si>
    <t>Unit Price</t>
  </si>
  <si>
    <t>Total Sales</t>
  </si>
  <si>
    <t>Cost</t>
  </si>
  <si>
    <t>Profit</t>
  </si>
  <si>
    <t>Customer Name</t>
  </si>
  <si>
    <t>Payment Status</t>
  </si>
  <si>
    <t>Rahul Sharma</t>
  </si>
  <si>
    <t>North</t>
  </si>
  <si>
    <t>Laptop Pro X1</t>
  </si>
  <si>
    <t>Electronics</t>
  </si>
  <si>
    <t>Tech Solutions Pvt Ltd</t>
  </si>
  <si>
    <t>Paid</t>
  </si>
  <si>
    <t>Priya Patel</t>
  </si>
  <si>
    <t>West</t>
  </si>
  <si>
    <t>Office Chair Deluxe</t>
  </si>
  <si>
    <t>Furniture</t>
  </si>
  <si>
    <t>Mumbai Interiors</t>
  </si>
  <si>
    <t>Amit Kumar</t>
  </si>
  <si>
    <t>South</t>
  </si>
  <si>
    <t>Wireless Mouse</t>
  </si>
  <si>
    <t>Bangalore Tech Hub</t>
  </si>
  <si>
    <t>Pending</t>
  </si>
  <si>
    <t>Sneha Reddy</t>
  </si>
  <si>
    <t>East</t>
  </si>
  <si>
    <t>Standing Desk</t>
  </si>
  <si>
    <t>Kolkata Offices</t>
  </si>
  <si>
    <t>Delhi Enterprises</t>
  </si>
  <si>
    <t>Vikram Singh</t>
  </si>
  <si>
    <t>Webcam HD</t>
  </si>
  <si>
    <t>Pune Startups</t>
  </si>
  <si>
    <t>Ergonomic Keyboard</t>
  </si>
  <si>
    <t>Mumbai Tech</t>
  </si>
  <si>
    <t>File Cabinet</t>
  </si>
  <si>
    <t>Chennai Corp</t>
  </si>
  <si>
    <t>Monitor 27inch</t>
  </si>
  <si>
    <t>Kolkata Digital</t>
  </si>
  <si>
    <t>Printer Laser</t>
  </si>
  <si>
    <t>Noida Systems</t>
  </si>
  <si>
    <t>Ahmedabad IT</t>
  </si>
  <si>
    <t>Hyderabad Tech</t>
  </si>
  <si>
    <t>Delhi Corp</t>
  </si>
  <si>
    <t>Pune Digital</t>
  </si>
  <si>
    <t>Mumbai Startups</t>
  </si>
  <si>
    <t>Bangalore Corp</t>
  </si>
  <si>
    <t>Kolkata Enterprises</t>
  </si>
  <si>
    <t>Gurgaon Tech</t>
  </si>
  <si>
    <t>Ahmedabad Corp</t>
  </si>
  <si>
    <t>Mumbai Digital</t>
  </si>
  <si>
    <t>Chennai Tech</t>
  </si>
  <si>
    <t>Kolkata IT</t>
  </si>
  <si>
    <t>Delhi Startups</t>
  </si>
  <si>
    <t>Pune Corp</t>
  </si>
  <si>
    <t>Mumbai Systems</t>
  </si>
  <si>
    <t>Hyderabad Corp</t>
  </si>
  <si>
    <t>Noida Corp</t>
  </si>
  <si>
    <t>Ahmedabad Tech</t>
  </si>
  <si>
    <t>Mumbai Corp</t>
  </si>
  <si>
    <t>Bangalore Digital</t>
  </si>
  <si>
    <t>Kolkata Tech</t>
  </si>
  <si>
    <t>Delhi Tech</t>
  </si>
  <si>
    <t>Mumbai IT</t>
  </si>
  <si>
    <t>Chennai Systems</t>
  </si>
  <si>
    <t>Kolkata Corp</t>
  </si>
  <si>
    <t>Gurgaon Corp</t>
  </si>
  <si>
    <t>Ahmedabad Digital</t>
  </si>
  <si>
    <t>Mumbai Enterprises</t>
  </si>
  <si>
    <t>Hyderabad IT</t>
  </si>
  <si>
    <t>Kolkata Systems</t>
  </si>
  <si>
    <t>Delhi Digital</t>
  </si>
  <si>
    <t>Pune Tech</t>
  </si>
  <si>
    <t>Noida IT</t>
  </si>
  <si>
    <t>Row Labels</t>
  </si>
  <si>
    <t>Grand Total</t>
  </si>
  <si>
    <t>Jan</t>
  </si>
  <si>
    <t>Feb</t>
  </si>
  <si>
    <t>Mar</t>
  </si>
  <si>
    <t>Apr</t>
  </si>
  <si>
    <t>May</t>
  </si>
  <si>
    <t>Sum of Total Sales</t>
  </si>
  <si>
    <t>Sum of Profit</t>
  </si>
  <si>
    <t>Sum of Units Sold</t>
  </si>
  <si>
    <t>Average of Unit Price</t>
  </si>
  <si>
    <t>Average of Cost</t>
  </si>
  <si>
    <t>Sum of Cost</t>
  </si>
  <si>
    <t>(blank)</t>
  </si>
  <si>
    <t>&lt;03-01-2024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</si>
</sst>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3.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Sales Dashboard.xlsx]MONTH WISE REVENUE!PivotTable1</c:name>
    <c:fmtId val="6"/>
  </c:pivotSource>
  <c:chart>
    <c:title>
      <c:tx>
        <c:rich>
          <a:bodyPr rot="0" spcFirstLastPara="1" vertOverflow="ellipsis" vert="horz" wrap="square" anchor="ctr" anchorCtr="1"/>
          <a:lstStyle/>
          <a:p>
            <a:pPr>
              <a:defRPr sz="1400" b="1" i="0" u="none" strike="noStrike" kern="1200" cap="all" spc="120" normalizeH="0" baseline="0">
                <a:solidFill>
                  <a:schemeClr val="dk1"/>
                </a:solidFill>
                <a:latin typeface="+mn-lt"/>
                <a:ea typeface="+mn-ea"/>
                <a:cs typeface="+mn-cs"/>
              </a:defRPr>
            </a:pPr>
            <a:r>
              <a:rPr lang="en-IN" sz="1400" b="1" i="0" u="none" strike="noStrike" kern="1200" baseline="0">
                <a:solidFill>
                  <a:schemeClr val="dk1"/>
                </a:solidFill>
                <a:latin typeface="+mn-lt"/>
                <a:ea typeface="+mn-ea"/>
                <a:cs typeface="+mn-cs"/>
              </a:rPr>
              <a:t>MONTH WISE REVENUE</a:t>
            </a:r>
          </a:p>
        </c:rich>
      </c:tx>
      <c:layout>
        <c:manualLayout>
          <c:xMode val="edge"/>
          <c:yMode val="edge"/>
          <c:x val="0.16749817953341578"/>
          <c:y val="0.90521951823900948"/>
        </c:manualLayout>
      </c:layout>
      <c:overlay val="0"/>
      <c:spPr>
        <a:solidFill>
          <a:schemeClr val="lt1"/>
        </a:solidFill>
        <a:ln w="12700" cap="flat" cmpd="sng" algn="ctr">
          <a:solidFill>
            <a:schemeClr val="accent2"/>
          </a:solidFill>
          <a:prstDash val="solid"/>
          <a:miter lim="800000"/>
        </a:ln>
        <a:effectLst/>
      </c:spPr>
      <c:txPr>
        <a:bodyPr rot="0" spcFirstLastPara="1" vertOverflow="ellipsis" vert="horz" wrap="square" anchor="ctr" anchorCtr="1"/>
        <a:lstStyle/>
        <a:p>
          <a:pPr>
            <a:defRPr sz="1400" b="1" i="0" u="none" strike="noStrike" kern="1200" cap="all" spc="120" normalizeH="0" baseline="0">
              <a:solidFill>
                <a:schemeClr val="dk1"/>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864277310163817"/>
          <c:y val="7.5176602924634456E-3"/>
          <c:w val="0.85944139741153025"/>
          <c:h val="0.98351376077990249"/>
        </c:manualLayout>
      </c:layout>
      <c:bar3DChart>
        <c:barDir val="bar"/>
        <c:grouping val="stacked"/>
        <c:varyColors val="0"/>
        <c:ser>
          <c:idx val="0"/>
          <c:order val="0"/>
          <c:tx>
            <c:strRef>
              <c:f>'MONTH WISE REVENUE'!$B$3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'MONTH WISE REVENUE'!$A$4:$A$10</c:f>
              <c:strCache>
                <c:ptCount val="6"/>
                <c:pt idx="0">
                  <c:v>&lt;03-01-2024</c:v>
                </c:pt>
                <c:pt idx="1">
                  <c:v>Jan</c:v>
                </c:pt>
                <c:pt idx="2">
                  <c:v>Feb</c:v>
                </c:pt>
                <c:pt idx="3">
                  <c:v>Mar</c:v>
                </c:pt>
                <c:pt idx="4">
                  <c:v>Apr</c:v>
                </c:pt>
                <c:pt idx="5">
                  <c:v>May</c:v>
                </c:pt>
              </c:strCache>
            </c:strRef>
          </c:cat>
          <c:val>
            <c:numRef>
              <c:f>'MONTH WISE REVENUE'!$B$4:$B$10</c:f>
              <c:numCache>
                <c:formatCode>General</c:formatCode>
                <c:ptCount val="6"/>
                <c:pt idx="1">
                  <c:v>639000</c:v>
                </c:pt>
                <c:pt idx="2">
                  <c:v>730600</c:v>
                </c:pt>
                <c:pt idx="3">
                  <c:v>725100</c:v>
                </c:pt>
                <c:pt idx="4">
                  <c:v>668400</c:v>
                </c:pt>
                <c:pt idx="5">
                  <c:v>474500</c:v>
                </c:pt>
              </c:numCache>
            </c:numRef>
          </c:val>
          <c:extLst>
            <c:ext xmlns:c16="http://schemas.microsoft.com/office/drawing/2014/chart" uri="{C3380CC4-5D6E-409C-BE32-E72D297353CC}">
              <c16:uniqueId val="{00000000-FE7A-4809-ACC0-8D6B0F4C483C}"/>
            </c:ext>
          </c:extLst>
        </c:ser>
        <c:dLbls>
          <c:showLegendKey val="0"/>
          <c:showVal val="1"/>
          <c:showCatName val="0"/>
          <c:showSerName val="0"/>
          <c:showPercent val="0"/>
          <c:showBubbleSize val="0"/>
        </c:dLbls>
        <c:gapWidth val="79"/>
        <c:shape val="box"/>
        <c:axId val="1287809295"/>
        <c:axId val="1287797775"/>
        <c:axId val="0"/>
      </c:bar3DChart>
      <c:catAx>
        <c:axId val="12878092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87797775"/>
        <c:crosses val="autoZero"/>
        <c:auto val="1"/>
        <c:lblAlgn val="ctr"/>
        <c:lblOffset val="100"/>
        <c:noMultiLvlLbl val="0"/>
      </c:catAx>
      <c:valAx>
        <c:axId val="1287797775"/>
        <c:scaling>
          <c:orientation val="minMax"/>
        </c:scaling>
        <c:delete val="1"/>
        <c:axPos val="b"/>
        <c:numFmt formatCode="General" sourceLinked="1"/>
        <c:majorTickMark val="out"/>
        <c:minorTickMark val="none"/>
        <c:tickLblPos val="nextTo"/>
        <c:crossAx val="1287809295"/>
        <c:crosses val="autoZero"/>
        <c:crossBetween val="between"/>
      </c:valAx>
      <c:spPr>
        <a:solidFill>
          <a:schemeClr val="accent2">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Dashboard.xlsx]SALES PERSON WISE SALES !PivotTable2</c:name>
    <c:fmtId val="4"/>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IN" sz="1100">
                <a:solidFill>
                  <a:schemeClr val="dk1"/>
                </a:solidFill>
                <a:latin typeface="+mn-lt"/>
                <a:ea typeface="+mn-ea"/>
                <a:cs typeface="+mn-cs"/>
              </a:rPr>
              <a:t>SALES</a:t>
            </a:r>
            <a:r>
              <a:rPr lang="en-IN" sz="1100" baseline="0">
                <a:solidFill>
                  <a:schemeClr val="dk1"/>
                </a:solidFill>
                <a:latin typeface="+mn-lt"/>
                <a:ea typeface="+mn-ea"/>
                <a:cs typeface="+mn-cs"/>
              </a:rPr>
              <a:t> PERSONS PERFORMANCE</a:t>
            </a:r>
            <a:endParaRPr lang="en-IN" sz="1100"/>
          </a:p>
        </c:rich>
      </c:tx>
      <c:layout>
        <c:manualLayout>
          <c:xMode val="edge"/>
          <c:yMode val="edge"/>
          <c:x val="0.18172786177105832"/>
          <c:y val="0"/>
        </c:manualLayout>
      </c:layout>
      <c:overlay val="0"/>
      <c:spPr>
        <a:solidFill>
          <a:schemeClr val="lt1"/>
        </a:solidFill>
        <a:ln w="12700" cap="flat" cmpd="sng" algn="ctr">
          <a:solidFill>
            <a:schemeClr val="accent2"/>
          </a:solidFill>
          <a:prstDash val="solid"/>
          <a:miter lim="800000"/>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IN"/>
        </a:p>
      </c:txPr>
    </c:title>
    <c:autoTitleDeleted val="0"/>
    <c:pivotFmts>
      <c:pivotFmt>
        <c:idx val="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777777777777776E-2"/>
          <c:y val="0"/>
          <c:w val="0.97222222222222221"/>
          <c:h val="0.85556930383702035"/>
        </c:manualLayout>
      </c:layout>
      <c:bar3DChart>
        <c:barDir val="col"/>
        <c:grouping val="standard"/>
        <c:varyColors val="0"/>
        <c:ser>
          <c:idx val="0"/>
          <c:order val="0"/>
          <c:tx>
            <c:strRef>
              <c:f>'SALES PERSON WISE SALES '!$B$3</c:f>
              <c:strCache>
                <c:ptCount val="1"/>
                <c:pt idx="0">
                  <c:v>Total</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PERSON WISE SALES '!$A$4:$A$9</c:f>
              <c:strCache>
                <c:ptCount val="5"/>
                <c:pt idx="0">
                  <c:v>Amit Kumar</c:v>
                </c:pt>
                <c:pt idx="1">
                  <c:v>Priya Patel</c:v>
                </c:pt>
                <c:pt idx="2">
                  <c:v>Rahul Sharma</c:v>
                </c:pt>
                <c:pt idx="3">
                  <c:v>Sneha Reddy</c:v>
                </c:pt>
                <c:pt idx="4">
                  <c:v>Vikram Singh</c:v>
                </c:pt>
              </c:strCache>
            </c:strRef>
          </c:cat>
          <c:val>
            <c:numRef>
              <c:f>'SALES PERSON WISE SALES '!$B$4:$B$9</c:f>
              <c:numCache>
                <c:formatCode>General</c:formatCode>
                <c:ptCount val="5"/>
                <c:pt idx="0">
                  <c:v>605100</c:v>
                </c:pt>
                <c:pt idx="1">
                  <c:v>571100</c:v>
                </c:pt>
                <c:pt idx="2">
                  <c:v>616000</c:v>
                </c:pt>
                <c:pt idx="3">
                  <c:v>615900</c:v>
                </c:pt>
                <c:pt idx="4">
                  <c:v>829500</c:v>
                </c:pt>
              </c:numCache>
            </c:numRef>
          </c:val>
          <c:extLst>
            <c:ext xmlns:c16="http://schemas.microsoft.com/office/drawing/2014/chart" uri="{C3380CC4-5D6E-409C-BE32-E72D297353CC}">
              <c16:uniqueId val="{00000000-495B-423E-9DF3-B4064F78F6AD}"/>
            </c:ext>
          </c:extLst>
        </c:ser>
        <c:dLbls>
          <c:showLegendKey val="0"/>
          <c:showVal val="1"/>
          <c:showCatName val="0"/>
          <c:showSerName val="0"/>
          <c:showPercent val="0"/>
          <c:showBubbleSize val="0"/>
        </c:dLbls>
        <c:gapWidth val="65"/>
        <c:shape val="box"/>
        <c:axId val="1298650575"/>
        <c:axId val="1298665935"/>
        <c:axId val="1333813279"/>
      </c:bar3DChart>
      <c:catAx>
        <c:axId val="1298650575"/>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98665935"/>
        <c:crosses val="autoZero"/>
        <c:auto val="1"/>
        <c:lblAlgn val="ctr"/>
        <c:lblOffset val="100"/>
        <c:noMultiLvlLbl val="0"/>
      </c:catAx>
      <c:valAx>
        <c:axId val="1298665935"/>
        <c:scaling>
          <c:orientation val="minMax"/>
        </c:scaling>
        <c:delete val="1"/>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crossAx val="1298650575"/>
        <c:crosses val="autoZero"/>
        <c:crossBetween val="between"/>
      </c:valAx>
      <c:serAx>
        <c:axId val="1333813279"/>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98665935"/>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Dashboard.xlsx]REGION WISE PROFIT!PivotTable3</c:name>
    <c:fmtId val="3"/>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IN" sz="1200">
                <a:solidFill>
                  <a:schemeClr val="dk1"/>
                </a:solidFill>
                <a:latin typeface="+mn-lt"/>
                <a:ea typeface="+mn-ea"/>
                <a:cs typeface="+mn-cs"/>
              </a:rPr>
              <a:t>REGION</a:t>
            </a:r>
          </a:p>
          <a:p>
            <a:pPr>
              <a:defRPr>
                <a:solidFill>
                  <a:schemeClr val="dk1"/>
                </a:solidFill>
              </a:defRPr>
            </a:pPr>
            <a:r>
              <a:rPr lang="en-IN" sz="1200" baseline="0">
                <a:solidFill>
                  <a:schemeClr val="dk1"/>
                </a:solidFill>
                <a:latin typeface="+mn-lt"/>
                <a:ea typeface="+mn-ea"/>
                <a:cs typeface="+mn-cs"/>
              </a:rPr>
              <a:t> WISE PROFIT</a:t>
            </a:r>
            <a:endParaRPr lang="en-IN" sz="1200"/>
          </a:p>
        </c:rich>
      </c:tx>
      <c:layout>
        <c:manualLayout>
          <c:xMode val="edge"/>
          <c:yMode val="edge"/>
          <c:x val="2.4098916462090927E-3"/>
          <c:y val="4.5031814799865497E-2"/>
        </c:manualLayout>
      </c:layout>
      <c:overlay val="0"/>
      <c:spPr>
        <a:solidFill>
          <a:schemeClr val="lt1"/>
        </a:solidFill>
        <a:ln w="12700" cap="flat" cmpd="sng" algn="ctr">
          <a:solidFill>
            <a:schemeClr val="accent2"/>
          </a:solidFill>
          <a:prstDash val="solid"/>
          <a:miter lim="800000"/>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olidFill>
          <a:ln>
            <a:noFill/>
          </a:ln>
          <a:effectLst>
            <a:outerShdw blurRad="254000" sx="102000" sy="102000" algn="ctr" rotWithShape="0">
              <a:prstClr val="black">
                <a:alpha val="20000"/>
              </a:prstClr>
            </a:outerShdw>
          </a:effectLst>
        </c:spPr>
      </c:pivotFmt>
      <c:pivotFmt>
        <c:idx val="4"/>
        <c:spPr>
          <a:solidFill>
            <a:schemeClr val="accent6"/>
          </a:solidFill>
          <a:ln>
            <a:noFill/>
          </a:ln>
          <a:effectLst>
            <a:outerShdw blurRad="254000" sx="102000" sy="102000" algn="ctr" rotWithShape="0">
              <a:prstClr val="black">
                <a:alpha val="20000"/>
              </a:prstClr>
            </a:outerShdw>
          </a:effectLst>
        </c:spPr>
      </c:pivotFmt>
      <c:pivotFmt>
        <c:idx val="5"/>
        <c:spPr>
          <a:solidFill>
            <a:schemeClr val="accent6"/>
          </a:solidFill>
          <a:ln>
            <a:noFill/>
          </a:ln>
          <a:effectLst>
            <a:outerShdw blurRad="254000" sx="102000" sy="102000" algn="ctr" rotWithShape="0">
              <a:prstClr val="black">
                <a:alpha val="20000"/>
              </a:prstClr>
            </a:outerShdw>
          </a:effectLst>
        </c:spPr>
      </c:pivotFmt>
      <c:pivotFmt>
        <c:idx val="6"/>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6"/>
          </a:solidFill>
          <a:ln>
            <a:noFill/>
          </a:ln>
          <a:effectLst>
            <a:outerShdw blurRad="254000" sx="102000" sy="102000" algn="ctr" rotWithShape="0">
              <a:prstClr val="black">
                <a:alpha val="20000"/>
              </a:prstClr>
            </a:outerShdw>
          </a:effectLst>
        </c:spPr>
      </c:pivotFmt>
      <c:pivotFmt>
        <c:idx val="8"/>
        <c:spPr>
          <a:solidFill>
            <a:schemeClr val="accent6"/>
          </a:solidFill>
          <a:ln>
            <a:noFill/>
          </a:ln>
          <a:effectLst>
            <a:outerShdw blurRad="254000" sx="102000" sy="102000" algn="ctr" rotWithShape="0">
              <a:prstClr val="black">
                <a:alpha val="20000"/>
              </a:prstClr>
            </a:outerShdw>
          </a:effectLst>
        </c:spPr>
      </c:pivotFmt>
      <c:pivotFmt>
        <c:idx val="9"/>
        <c:spPr>
          <a:solidFill>
            <a:schemeClr val="accent6"/>
          </a:solidFill>
          <a:ln>
            <a:noFill/>
          </a:ln>
          <a:effectLst>
            <a:outerShdw blurRad="254000" sx="102000" sy="102000" algn="ctr" rotWithShape="0">
              <a:prstClr val="black">
                <a:alpha val="20000"/>
              </a:prstClr>
            </a:outerShdw>
          </a:effectLst>
        </c:spPr>
      </c:pivotFmt>
      <c:pivotFmt>
        <c:idx val="10"/>
        <c:spPr>
          <a:solidFill>
            <a:schemeClr val="accent6"/>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5534753468316462"/>
          <c:y val="0.16526902887139108"/>
          <c:w val="0.51628937007874021"/>
          <c:h val="0.8604822834645669"/>
        </c:manualLayout>
      </c:layout>
      <c:doughnutChart>
        <c:varyColors val="1"/>
        <c:ser>
          <c:idx val="0"/>
          <c:order val="0"/>
          <c:tx>
            <c:strRef>
              <c:f>'REGION WISE PROFIT'!$B$3</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206-4297-BE55-A61F88B6601B}"/>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206-4297-BE55-A61F88B6601B}"/>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206-4297-BE55-A61F88B6601B}"/>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206-4297-BE55-A61F88B6601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'REGION WISE PROFIT'!$A$4:$A$8</c:f>
              <c:strCache>
                <c:ptCount val="4"/>
                <c:pt idx="0">
                  <c:v>East</c:v>
                </c:pt>
                <c:pt idx="1">
                  <c:v>North</c:v>
                </c:pt>
                <c:pt idx="2">
                  <c:v>South</c:v>
                </c:pt>
                <c:pt idx="3">
                  <c:v>West</c:v>
                </c:pt>
              </c:strCache>
            </c:strRef>
          </c:cat>
          <c:val>
            <c:numRef>
              <c:f>'REGION WISE PROFIT'!$B$4:$B$8</c:f>
              <c:numCache>
                <c:formatCode>General</c:formatCode>
                <c:ptCount val="4"/>
                <c:pt idx="0">
                  <c:v>186110</c:v>
                </c:pt>
                <c:pt idx="1">
                  <c:v>163400</c:v>
                </c:pt>
                <c:pt idx="2">
                  <c:v>171090</c:v>
                </c:pt>
                <c:pt idx="3">
                  <c:v>415290</c:v>
                </c:pt>
              </c:numCache>
            </c:numRef>
          </c:val>
          <c:extLst>
            <c:ext xmlns:c16="http://schemas.microsoft.com/office/drawing/2014/chart" uri="{C3380CC4-5D6E-409C-BE32-E72D297353CC}">
              <c16:uniqueId val="{00000008-F206-4297-BE55-A61F88B6601B}"/>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Sales Dashboard.xlsx]PERFORMACE OF PRODUCT!PivotTable4</c:name>
    <c:fmtId val="3"/>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IN">
                <a:solidFill>
                  <a:schemeClr val="dk1"/>
                </a:solidFill>
                <a:latin typeface="+mn-lt"/>
                <a:ea typeface="+mn-ea"/>
                <a:cs typeface="+mn-cs"/>
              </a:rPr>
              <a:t>PRODUCT WISE SALES</a:t>
            </a:r>
          </a:p>
        </c:rich>
      </c:tx>
      <c:overlay val="0"/>
      <c:spPr>
        <a:solidFill>
          <a:schemeClr val="lt1"/>
        </a:solidFill>
        <a:ln w="12700" cap="flat" cmpd="sng" algn="ctr">
          <a:solidFill>
            <a:schemeClr val="accent2"/>
          </a:solidFill>
          <a:prstDash val="solid"/>
          <a:miter lim="800000"/>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278681590421033"/>
          <c:y val="0.14371530029334573"/>
          <c:w val="0.57620494313210846"/>
          <c:h val="0.78005650335374743"/>
        </c:manualLayout>
      </c:layout>
      <c:barChart>
        <c:barDir val="bar"/>
        <c:grouping val="clustered"/>
        <c:varyColors val="0"/>
        <c:ser>
          <c:idx val="0"/>
          <c:order val="0"/>
          <c:tx>
            <c:strRef>
              <c:f>'PERFORMACE OF PRODUCT'!$B$3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'PERFORMACE OF PRODUCT'!$A$4:$A$14</c:f>
              <c:strCache>
                <c:ptCount val="10"/>
                <c:pt idx="0">
                  <c:v>Ergonomic Keyboard</c:v>
                </c:pt>
                <c:pt idx="1">
                  <c:v>File Cabinet</c:v>
                </c:pt>
                <c:pt idx="2">
                  <c:v>Laptop Pro X1</c:v>
                </c:pt>
                <c:pt idx="3">
                  <c:v>Monitor 27inch</c:v>
                </c:pt>
                <c:pt idx="4">
                  <c:v>Office Chair Deluxe</c:v>
                </c:pt>
                <c:pt idx="5">
                  <c:v>Printer Laser</c:v>
                </c:pt>
                <c:pt idx="6">
                  <c:v>Standing Desk</c:v>
                </c:pt>
                <c:pt idx="7">
                  <c:v>Webcam HD</c:v>
                </c:pt>
                <c:pt idx="8">
                  <c:v>Wireless Mouse</c:v>
                </c:pt>
                <c:pt idx="9">
                  <c:v>(blank)</c:v>
                </c:pt>
              </c:strCache>
            </c:strRef>
          </c:cat>
          <c:val>
            <c:numRef>
              <c:f>'PERFORMACE OF PRODUCT'!$B$4:$B$14</c:f>
              <c:numCache>
                <c:formatCode>General</c:formatCode>
                <c:ptCount val="10"/>
                <c:pt idx="0">
                  <c:v>67</c:v>
                </c:pt>
                <c:pt idx="1">
                  <c:v>23</c:v>
                </c:pt>
                <c:pt idx="2">
                  <c:v>20</c:v>
                </c:pt>
                <c:pt idx="3">
                  <c:v>28</c:v>
                </c:pt>
                <c:pt idx="4">
                  <c:v>45</c:v>
                </c:pt>
                <c:pt idx="5">
                  <c:v>17</c:v>
                </c:pt>
                <c:pt idx="6">
                  <c:v>17</c:v>
                </c:pt>
                <c:pt idx="7">
                  <c:v>63</c:v>
                </c:pt>
                <c:pt idx="8">
                  <c:v>115</c:v>
                </c:pt>
              </c:numCache>
            </c:numRef>
          </c:val>
          <c:extLst>
            <c:ext xmlns:c16="http://schemas.microsoft.com/office/drawing/2014/chart" uri="{C3380CC4-5D6E-409C-BE32-E72D297353CC}">
              <c16:uniqueId val="{00000000-318A-456C-A445-48219C8AFACA}"/>
            </c:ext>
          </c:extLst>
        </c:ser>
        <c:dLbls>
          <c:dLblPos val="outEnd"/>
          <c:showLegendKey val="0"/>
          <c:showVal val="1"/>
          <c:showCatName val="0"/>
          <c:showSerName val="0"/>
          <c:showPercent val="0"/>
          <c:showBubbleSize val="0"/>
        </c:dLbls>
        <c:gapWidth val="115"/>
        <c:overlap val="-20"/>
        <c:axId val="1339298063"/>
        <c:axId val="1339323023"/>
      </c:barChart>
      <c:catAx>
        <c:axId val="1339298063"/>
        <c:scaling>
          <c:orientation val="minMax"/>
        </c:scaling>
        <c:delete val="0"/>
        <c:axPos val="l"/>
        <c:numFmt formatCode="General" sourceLinked="1"/>
        <c:majorTickMark val="out"/>
        <c:minorTickMark val="none"/>
        <c:tickLblPos val="nextTo"/>
        <c:spPr>
          <a:noFill/>
          <a:ln w="12700" cap="flat" cmpd="sng" algn="ctr">
            <a:no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339323023"/>
        <c:crosses val="autoZero"/>
        <c:auto val="1"/>
        <c:lblAlgn val="ctr"/>
        <c:lblOffset val="100"/>
        <c:noMultiLvlLbl val="0"/>
      </c:catAx>
      <c:valAx>
        <c:axId val="1339323023"/>
        <c:scaling>
          <c:orientation val="minMax"/>
        </c:scaling>
        <c:delete val="1"/>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33929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Sales Dashboard.xlsx]PRICING REGIONWISE!PivotTable5</c:name>
    <c:fmtId val="6"/>
  </c:pivotSource>
  <c:chart>
    <c:autoTitleDeleted val="1"/>
    <c:pivotFmts>
      <c:pivotFmt>
        <c:idx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3.7599146260563548E-3"/>
          <c:w val="1"/>
          <c:h val="0.85939949813965566"/>
        </c:manualLayout>
      </c:layout>
      <c:bar3DChart>
        <c:barDir val="col"/>
        <c:grouping val="clustered"/>
        <c:varyColors val="0"/>
        <c:ser>
          <c:idx val="0"/>
          <c:order val="0"/>
          <c:tx>
            <c:strRef>
              <c:f>'PRICING REGIONWISE'!$B$3</c:f>
              <c:strCache>
                <c:ptCount val="1"/>
                <c:pt idx="0">
                  <c:v>Total</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dLbls>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'PRICING REGIONWISE'!$A$4:$A$8</c:f>
              <c:strCache>
                <c:ptCount val="4"/>
                <c:pt idx="0">
                  <c:v>East</c:v>
                </c:pt>
                <c:pt idx="1">
                  <c:v>North</c:v>
                </c:pt>
                <c:pt idx="2">
                  <c:v>South</c:v>
                </c:pt>
                <c:pt idx="3">
                  <c:v>West</c:v>
                </c:pt>
              </c:strCache>
            </c:strRef>
          </c:cat>
          <c:val>
            <c:numRef>
              <c:f>'PRICING REGIONWISE'!$B$4:$B$8</c:f>
              <c:numCache>
                <c:formatCode>General</c:formatCode>
                <c:ptCount val="4"/>
                <c:pt idx="0">
                  <c:v>14670</c:v>
                </c:pt>
                <c:pt idx="1">
                  <c:v>21981.81818181818</c:v>
                </c:pt>
                <c:pt idx="2">
                  <c:v>16210</c:v>
                </c:pt>
                <c:pt idx="3">
                  <c:v>14942.105263157895</c:v>
                </c:pt>
              </c:numCache>
            </c:numRef>
          </c:val>
          <c:extLst>
            <c:ext xmlns:c16="http://schemas.microsoft.com/office/drawing/2014/chart" uri="{C3380CC4-5D6E-409C-BE32-E72D297353CC}">
              <c16:uniqueId val="{00000000-8355-406E-AD41-3F04FC84DBC2}"/>
            </c:ext>
          </c:extLst>
        </c:ser>
        <c:dLbls>
          <c:showLegendKey val="0"/>
          <c:showVal val="0"/>
          <c:showCatName val="0"/>
          <c:showSerName val="0"/>
          <c:showPercent val="0"/>
          <c:showBubbleSize val="0"/>
        </c:dLbls>
        <c:gapWidth val="65"/>
        <c:shape val="box"/>
        <c:axId val="1541719599"/>
        <c:axId val="1541738319"/>
        <c:axId val="0"/>
      </c:bar3DChart>
      <c:catAx>
        <c:axId val="15417195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41738319"/>
        <c:crosses val="autoZero"/>
        <c:auto val="1"/>
        <c:lblAlgn val="ctr"/>
        <c:lblOffset val="100"/>
        <c:noMultiLvlLbl val="0"/>
      </c:catAx>
      <c:valAx>
        <c:axId val="1541738319"/>
        <c:scaling>
          <c:orientation val="minMax"/>
        </c:scaling>
        <c:delete val="1"/>
        <c:axPos val="l"/>
        <c:numFmt formatCode="General" sourceLinked="1"/>
        <c:majorTickMark val="none"/>
        <c:minorTickMark val="none"/>
        <c:tickLblPos val="nextTo"/>
        <c:crossAx val="1541719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209550</xdr:colOff>
      <xdr:row>0</xdr:row>
      <xdr:rowOff>44450</xdr:rowOff>
    </xdr:from>
    <xdr:to>
      <xdr:col>5</xdr:col>
      <xdr:colOff>196850</xdr:colOff>
      <xdr:row>2</xdr:row>
      <xdr:rowOff>107950</xdr:rowOff>
    </xdr:to>
    <xdr:sp macro="" textlink="">
      <xdr:nvSpPr>
        <xdr:cNvPr id="2" name="Rectangle: Rounded Corners 1">
          <a:extLst>
            <a:ext uri="{FF2B5EF4-FFF2-40B4-BE49-F238E27FC236}">
              <a16:creationId xmlns:a16="http://schemas.microsoft.com/office/drawing/2014/main" id="{67C70598-99E3-B457-D300-9EDF108AC201}"/>
            </a:ext>
          </a:extLst>
        </xdr:cNvPr>
        <xdr:cNvSpPr/>
      </xdr:nvSpPr>
      <xdr:spPr>
        <a:xfrm>
          <a:off x="209550" y="44450"/>
          <a:ext cx="3035300" cy="431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63500</xdr:colOff>
      <xdr:row>0</xdr:row>
      <xdr:rowOff>120650</xdr:rowOff>
    </xdr:from>
    <xdr:to>
      <xdr:col>5</xdr:col>
      <xdr:colOff>38100</xdr:colOff>
      <xdr:row>2</xdr:row>
      <xdr:rowOff>63500</xdr:rowOff>
    </xdr:to>
    <xdr:sp macro="" textlink="">
      <xdr:nvSpPr>
        <xdr:cNvPr id="3" name="TextBox 2">
          <a:extLst>
            <a:ext uri="{FF2B5EF4-FFF2-40B4-BE49-F238E27FC236}">
              <a16:creationId xmlns:a16="http://schemas.microsoft.com/office/drawing/2014/main" id="{05B6249F-54F2-AF5D-595B-4A01181387DF}"/>
            </a:ext>
          </a:extLst>
        </xdr:cNvPr>
        <xdr:cNvSpPr txBox="1"/>
      </xdr:nvSpPr>
      <xdr:spPr>
        <a:xfrm>
          <a:off x="673100" y="120650"/>
          <a:ext cx="2413000" cy="311150"/>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u="sng"/>
            <a:t>HOME APPLIANCE</a:t>
          </a:r>
          <a:r>
            <a:rPr lang="en-IN" sz="1100" b="1" u="sng" baseline="0"/>
            <a:t> SALES DASHBOARD</a:t>
          </a:r>
          <a:endParaRPr lang="en-IN" sz="1100" b="1" u="sng"/>
        </a:p>
      </xdr:txBody>
    </xdr:sp>
    <xdr:clientData/>
  </xdr:twoCellAnchor>
  <xdr:twoCellAnchor editAs="oneCell">
    <xdr:from>
      <xdr:col>0</xdr:col>
      <xdr:colOff>273050</xdr:colOff>
      <xdr:row>0</xdr:row>
      <xdr:rowOff>69850</xdr:rowOff>
    </xdr:from>
    <xdr:to>
      <xdr:col>1</xdr:col>
      <xdr:colOff>38100</xdr:colOff>
      <xdr:row>2</xdr:row>
      <xdr:rowOff>130836</xdr:rowOff>
    </xdr:to>
    <xdr:pic>
      <xdr:nvPicPr>
        <xdr:cNvPr id="5" name="Graphic 4" descr="Bar graph with upward trend">
          <a:extLst>
            <a:ext uri="{FF2B5EF4-FFF2-40B4-BE49-F238E27FC236}">
              <a16:creationId xmlns:a16="http://schemas.microsoft.com/office/drawing/2014/main" id="{ECE07255-B611-D067-C156-5CF869E53D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3050" y="69850"/>
          <a:ext cx="374650" cy="429286"/>
        </a:xfrm>
        <a:prstGeom prst="rect">
          <a:avLst/>
        </a:prstGeom>
      </xdr:spPr>
    </xdr:pic>
    <xdr:clientData/>
  </xdr:twoCellAnchor>
  <xdr:twoCellAnchor>
    <xdr:from>
      <xdr:col>0</xdr:col>
      <xdr:colOff>158750</xdr:colOff>
      <xdr:row>3</xdr:row>
      <xdr:rowOff>114300</xdr:rowOff>
    </xdr:from>
    <xdr:to>
      <xdr:col>4</xdr:col>
      <xdr:colOff>482600</xdr:colOff>
      <xdr:row>22</xdr:row>
      <xdr:rowOff>165100</xdr:rowOff>
    </xdr:to>
    <xdr:graphicFrame macro="">
      <xdr:nvGraphicFramePr>
        <xdr:cNvPr id="13" name="Chart 1">
          <a:extLst>
            <a:ext uri="{FF2B5EF4-FFF2-40B4-BE49-F238E27FC236}">
              <a16:creationId xmlns:a16="http://schemas.microsoft.com/office/drawing/2014/main" id="{568AC40E-C1BD-54D2-8FDA-7978BA288F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25400</xdr:colOff>
      <xdr:row>3</xdr:row>
      <xdr:rowOff>152400</xdr:rowOff>
    </xdr:from>
    <xdr:to>
      <xdr:col>9</xdr:col>
      <xdr:colOff>565150</xdr:colOff>
      <xdr:row>13</xdr:row>
      <xdr:rowOff>95250</xdr:rowOff>
    </xdr:to>
    <xdr:graphicFrame macro="">
      <xdr:nvGraphicFramePr>
        <xdr:cNvPr id="14" name="Chart 1">
          <a:extLst>
            <a:ext uri="{FF2B5EF4-FFF2-40B4-BE49-F238E27FC236}">
              <a16:creationId xmlns:a16="http://schemas.microsoft.com/office/drawing/2014/main" id="{4DACB28B-D5E0-C025-8A22-D0DC187A3D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38100</xdr:colOff>
      <xdr:row>13</xdr:row>
      <xdr:rowOff>171450</xdr:rowOff>
    </xdr:from>
    <xdr:to>
      <xdr:col>10</xdr:col>
      <xdr:colOff>66842</xdr:colOff>
      <xdr:row>23</xdr:row>
      <xdr:rowOff>0</xdr:rowOff>
    </xdr:to>
    <xdr:graphicFrame macro="">
      <xdr:nvGraphicFramePr>
        <xdr:cNvPr id="15" name="Chart 1">
          <a:extLst>
            <a:ext uri="{FF2B5EF4-FFF2-40B4-BE49-F238E27FC236}">
              <a16:creationId xmlns:a16="http://schemas.microsoft.com/office/drawing/2014/main" id="{ABD1ED71-5238-F220-440D-3D2EDAABFE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150395</xdr:colOff>
      <xdr:row>3</xdr:row>
      <xdr:rowOff>167105</xdr:rowOff>
    </xdr:from>
    <xdr:to>
      <xdr:col>15</xdr:col>
      <xdr:colOff>225592</xdr:colOff>
      <xdr:row>13</xdr:row>
      <xdr:rowOff>100262</xdr:rowOff>
    </xdr:to>
    <xdr:graphicFrame macro="">
      <xdr:nvGraphicFramePr>
        <xdr:cNvPr id="16" name="Chart 1">
          <a:extLst>
            <a:ext uri="{FF2B5EF4-FFF2-40B4-BE49-F238E27FC236}">
              <a16:creationId xmlns:a16="http://schemas.microsoft.com/office/drawing/2014/main" id="{94ECD794-688F-3297-9AA7-02FE8FD3FF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150395</xdr:colOff>
      <xdr:row>13</xdr:row>
      <xdr:rowOff>165100</xdr:rowOff>
    </xdr:from>
    <xdr:to>
      <xdr:col>15</xdr:col>
      <xdr:colOff>234951</xdr:colOff>
      <xdr:row>23</xdr:row>
      <xdr:rowOff>0</xdr:rowOff>
    </xdr:to>
    <xdr:graphicFrame macro="">
      <xdr:nvGraphicFramePr>
        <xdr:cNvPr id="17" name="Chart 1">
          <a:extLst>
            <a:ext uri="{FF2B5EF4-FFF2-40B4-BE49-F238E27FC236}">
              <a16:creationId xmlns:a16="http://schemas.microsoft.com/office/drawing/2014/main" id="{0992EF2A-FC0F-996E-8938-4DF8E2B476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15</xdr:col>
      <xdr:colOff>311150</xdr:colOff>
      <xdr:row>0</xdr:row>
      <xdr:rowOff>75924</xdr:rowOff>
    </xdr:from>
    <xdr:to>
      <xdr:col>19</xdr:col>
      <xdr:colOff>57150</xdr:colOff>
      <xdr:row>9</xdr:row>
      <xdr:rowOff>6901</xdr:rowOff>
    </xdr:to>
    <mc:AlternateContent xmlns:mc="http://schemas.openxmlformats.org/markup-compatibility/2006" xmlns:a14="http://schemas.microsoft.com/office/drawing/2010/main">
      <mc:Choice Requires="a14">
        <xdr:graphicFrame macro="">
          <xdr:nvGraphicFramePr>
            <xdr:cNvPr id="20" name="Category">
              <a:extLst>
                <a:ext uri="{FF2B5EF4-FFF2-40B4-BE49-F238E27FC236}">
                  <a16:creationId xmlns:a16="http://schemas.microsoft.com/office/drawing/2014/main" id="{0C641E4D-81A5-35B5-BF31-A7F00DE54CB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455150" y="266701"/>
              <a:ext cx="2184400" cy="1822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406400</xdr:colOff>
      <xdr:row>0</xdr:row>
      <xdr:rowOff>44450</xdr:rowOff>
    </xdr:from>
    <xdr:to>
      <xdr:col>8</xdr:col>
      <xdr:colOff>342900</xdr:colOff>
      <xdr:row>2</xdr:row>
      <xdr:rowOff>107950</xdr:rowOff>
    </xdr:to>
    <xdr:sp macro="" textlink="">
      <xdr:nvSpPr>
        <xdr:cNvPr id="19" name="Rectangle: Rounded Corners 18">
          <a:extLst>
            <a:ext uri="{FF2B5EF4-FFF2-40B4-BE49-F238E27FC236}">
              <a16:creationId xmlns:a16="http://schemas.microsoft.com/office/drawing/2014/main" id="{959D1BA7-8D4E-4D96-B14E-4FAE050FECD2}"/>
            </a:ext>
          </a:extLst>
        </xdr:cNvPr>
        <xdr:cNvSpPr/>
      </xdr:nvSpPr>
      <xdr:spPr>
        <a:xfrm>
          <a:off x="3454400" y="44450"/>
          <a:ext cx="1765300" cy="431800"/>
        </a:xfrm>
        <a:prstGeom prst="roundRect">
          <a:avLst/>
        </a:prstGeom>
        <a:ln>
          <a:noFill/>
        </a:ln>
        <a:effectLst>
          <a:glow rad="63500">
            <a:schemeClr val="accent4">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323850</xdr:colOff>
      <xdr:row>1</xdr:row>
      <xdr:rowOff>69850</xdr:rowOff>
    </xdr:from>
    <xdr:to>
      <xdr:col>9</xdr:col>
      <xdr:colOff>133350</xdr:colOff>
      <xdr:row>3</xdr:row>
      <xdr:rowOff>177800</xdr:rowOff>
    </xdr:to>
    <xdr:sp macro="" textlink="sales_data!R12">
      <xdr:nvSpPr>
        <xdr:cNvPr id="23" name="TextBox 22">
          <a:extLst>
            <a:ext uri="{FF2B5EF4-FFF2-40B4-BE49-F238E27FC236}">
              <a16:creationId xmlns:a16="http://schemas.microsoft.com/office/drawing/2014/main" id="{DFD1B873-4F1D-E3C1-F799-5E958C115035}"/>
            </a:ext>
          </a:extLst>
        </xdr:cNvPr>
        <xdr:cNvSpPr txBox="1"/>
      </xdr:nvSpPr>
      <xdr:spPr>
        <a:xfrm>
          <a:off x="3981450" y="254000"/>
          <a:ext cx="16383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65AA5F-8847-4287-82BE-72351F47BCFA}" type="TxLink">
            <a:rPr lang="en-US" sz="1100" b="1" i="0" u="none" strike="noStrike" cap="none" spc="50">
              <a:ln w="0"/>
              <a:solidFill>
                <a:schemeClr val="bg2"/>
              </a:solidFill>
              <a:effectLst>
                <a:innerShdw blurRad="63500" dist="50800" dir="13500000">
                  <a:srgbClr val="000000">
                    <a:alpha val="50000"/>
                  </a:srgbClr>
                </a:innerShdw>
              </a:effectLst>
              <a:latin typeface="Calibri"/>
              <a:cs typeface="Calibri"/>
            </a:rPr>
            <a:pPr/>
            <a:t>16690</a:t>
          </a:fld>
          <a:endParaRPr lang="en-IN" sz="11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5</xdr:col>
      <xdr:colOff>571500</xdr:colOff>
      <xdr:row>0</xdr:row>
      <xdr:rowOff>88900</xdr:rowOff>
    </xdr:from>
    <xdr:to>
      <xdr:col>8</xdr:col>
      <xdr:colOff>298450</xdr:colOff>
      <xdr:row>1</xdr:row>
      <xdr:rowOff>133350</xdr:rowOff>
    </xdr:to>
    <xdr:sp macro="" textlink="">
      <xdr:nvSpPr>
        <xdr:cNvPr id="24" name="TextBox 23">
          <a:extLst>
            <a:ext uri="{FF2B5EF4-FFF2-40B4-BE49-F238E27FC236}">
              <a16:creationId xmlns:a16="http://schemas.microsoft.com/office/drawing/2014/main" id="{6B9A0D0C-F887-92CE-E0D3-41B513B6F004}"/>
            </a:ext>
          </a:extLst>
        </xdr:cNvPr>
        <xdr:cNvSpPr txBox="1"/>
      </xdr:nvSpPr>
      <xdr:spPr>
        <a:xfrm>
          <a:off x="3619500" y="88900"/>
          <a:ext cx="15557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cap="none" spc="0">
              <a:ln w="0"/>
              <a:solidFill>
                <a:schemeClr val="tx1"/>
              </a:solidFill>
              <a:effectLst>
                <a:outerShdw blurRad="38100" dist="19050" dir="2700000" algn="tl" rotWithShape="0">
                  <a:schemeClr val="dk1">
                    <a:alpha val="40000"/>
                  </a:schemeClr>
                </a:outerShdw>
              </a:effectLst>
            </a:rPr>
            <a:t>AVERAGE</a:t>
          </a:r>
          <a:r>
            <a:rPr lang="en-IN" sz="1100" b="1" cap="none" spc="50">
              <a:ln w="0"/>
              <a:solidFill>
                <a:schemeClr val="bg2"/>
              </a:solidFill>
              <a:effectLst>
                <a:innerShdw blurRad="63500" dist="50800" dir="13500000">
                  <a:srgbClr val="000000">
                    <a:alpha val="50000"/>
                  </a:srgbClr>
                </a:innerShdw>
              </a:effectLst>
            </a:rPr>
            <a:t> </a:t>
          </a:r>
          <a:r>
            <a:rPr lang="en-IN" sz="1100" b="0" cap="none" spc="0">
              <a:ln w="0"/>
              <a:solidFill>
                <a:schemeClr val="tx1"/>
              </a:solidFill>
              <a:effectLst>
                <a:outerShdw blurRad="38100" dist="19050" dir="2700000" algn="tl" rotWithShape="0">
                  <a:schemeClr val="dk1">
                    <a:alpha val="40000"/>
                  </a:schemeClr>
                </a:outerShdw>
              </a:effectLst>
            </a:rPr>
            <a:t>UNIT PRICE</a:t>
          </a:r>
          <a:endParaRPr lang="en-IN" sz="11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8</xdr:col>
      <xdr:colOff>527050</xdr:colOff>
      <xdr:row>0</xdr:row>
      <xdr:rowOff>31750</xdr:rowOff>
    </xdr:from>
    <xdr:to>
      <xdr:col>11</xdr:col>
      <xdr:colOff>463550</xdr:colOff>
      <xdr:row>2</xdr:row>
      <xdr:rowOff>95250</xdr:rowOff>
    </xdr:to>
    <xdr:sp macro="" textlink="">
      <xdr:nvSpPr>
        <xdr:cNvPr id="25" name="Rectangle: Rounded Corners 24">
          <a:extLst>
            <a:ext uri="{FF2B5EF4-FFF2-40B4-BE49-F238E27FC236}">
              <a16:creationId xmlns:a16="http://schemas.microsoft.com/office/drawing/2014/main" id="{F52B7EDC-5458-454C-B3A0-77FB95C24EE6}"/>
            </a:ext>
          </a:extLst>
        </xdr:cNvPr>
        <xdr:cNvSpPr/>
      </xdr:nvSpPr>
      <xdr:spPr>
        <a:xfrm>
          <a:off x="5403850" y="31750"/>
          <a:ext cx="1765300" cy="431800"/>
        </a:xfrm>
        <a:prstGeom prst="roundRect">
          <a:avLst/>
        </a:prstGeom>
        <a:ln>
          <a:noFill/>
        </a:ln>
        <a:effectLst>
          <a:glow rad="63500">
            <a:schemeClr val="accent4">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410542</xdr:colOff>
      <xdr:row>1</xdr:row>
      <xdr:rowOff>57702</xdr:rowOff>
    </xdr:from>
    <xdr:to>
      <xdr:col>11</xdr:col>
      <xdr:colOff>586134</xdr:colOff>
      <xdr:row>2</xdr:row>
      <xdr:rowOff>51352</xdr:rowOff>
    </xdr:to>
    <xdr:sp macro="" textlink="sales_data!S12">
      <xdr:nvSpPr>
        <xdr:cNvPr id="26" name="TextBox 25">
          <a:extLst>
            <a:ext uri="{FF2B5EF4-FFF2-40B4-BE49-F238E27FC236}">
              <a16:creationId xmlns:a16="http://schemas.microsoft.com/office/drawing/2014/main" id="{8503D171-6172-5FAA-680B-DFF7C75AAEB4}"/>
            </a:ext>
          </a:extLst>
        </xdr:cNvPr>
        <xdr:cNvSpPr txBox="1"/>
      </xdr:nvSpPr>
      <xdr:spPr>
        <a:xfrm>
          <a:off x="5877064" y="244061"/>
          <a:ext cx="1390374" cy="180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FCA56E-EC4A-43F1-9A4D-8466077B2127}" type="TxLink">
            <a:rPr lang="en-US" sz="1100" b="1" i="0" u="none" strike="noStrike" cap="none" spc="50">
              <a:ln w="0"/>
              <a:solidFill>
                <a:schemeClr val="bg2"/>
              </a:solidFill>
              <a:effectLst>
                <a:innerShdw blurRad="63500" dist="50800" dir="13500000">
                  <a:srgbClr val="000000">
                    <a:alpha val="50000"/>
                  </a:srgbClr>
                </a:innerShdw>
              </a:effectLst>
              <a:latin typeface="Calibri"/>
              <a:cs typeface="Calibri"/>
            </a:rPr>
            <a:pPr/>
            <a:t>3237600</a:t>
          </a:fld>
          <a:endParaRPr lang="en-IN" sz="11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9</xdr:col>
      <xdr:colOff>336550</xdr:colOff>
      <xdr:row>0</xdr:row>
      <xdr:rowOff>63500</xdr:rowOff>
    </xdr:from>
    <xdr:to>
      <xdr:col>11</xdr:col>
      <xdr:colOff>285750</xdr:colOff>
      <xdr:row>2</xdr:row>
      <xdr:rowOff>0</xdr:rowOff>
    </xdr:to>
    <xdr:sp macro="" textlink="">
      <xdr:nvSpPr>
        <xdr:cNvPr id="27" name="TextBox 26">
          <a:extLst>
            <a:ext uri="{FF2B5EF4-FFF2-40B4-BE49-F238E27FC236}">
              <a16:creationId xmlns:a16="http://schemas.microsoft.com/office/drawing/2014/main" id="{415D30D5-4D7D-8B2A-0977-361F46D8FF66}"/>
            </a:ext>
          </a:extLst>
        </xdr:cNvPr>
        <xdr:cNvSpPr txBox="1"/>
      </xdr:nvSpPr>
      <xdr:spPr>
        <a:xfrm>
          <a:off x="5822950" y="63500"/>
          <a:ext cx="11684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cap="none" spc="0">
              <a:ln w="0"/>
              <a:solidFill>
                <a:schemeClr val="tx1"/>
              </a:solidFill>
              <a:effectLst>
                <a:outerShdw blurRad="38100" dist="19050" dir="2700000" algn="tl" rotWithShape="0">
                  <a:schemeClr val="dk1">
                    <a:alpha val="40000"/>
                  </a:schemeClr>
                </a:outerShdw>
              </a:effectLst>
            </a:rPr>
            <a:t>TOTAL SALES</a:t>
          </a:r>
        </a:p>
        <a:p>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12</xdr:col>
      <xdr:colOff>69850</xdr:colOff>
      <xdr:row>0</xdr:row>
      <xdr:rowOff>31750</xdr:rowOff>
    </xdr:from>
    <xdr:to>
      <xdr:col>15</xdr:col>
      <xdr:colOff>6350</xdr:colOff>
      <xdr:row>2</xdr:row>
      <xdr:rowOff>95250</xdr:rowOff>
    </xdr:to>
    <xdr:sp macro="" textlink="">
      <xdr:nvSpPr>
        <xdr:cNvPr id="28" name="Rectangle: Rounded Corners 27">
          <a:extLst>
            <a:ext uri="{FF2B5EF4-FFF2-40B4-BE49-F238E27FC236}">
              <a16:creationId xmlns:a16="http://schemas.microsoft.com/office/drawing/2014/main" id="{A3502288-41E1-497D-998C-8D85BEDC7DEE}"/>
            </a:ext>
          </a:extLst>
        </xdr:cNvPr>
        <xdr:cNvSpPr/>
      </xdr:nvSpPr>
      <xdr:spPr>
        <a:xfrm>
          <a:off x="7385050" y="31750"/>
          <a:ext cx="1765300" cy="431800"/>
        </a:xfrm>
        <a:prstGeom prst="roundRect">
          <a:avLst/>
        </a:prstGeom>
        <a:ln>
          <a:noFill/>
        </a:ln>
        <a:effectLst>
          <a:glow rad="63500">
            <a:schemeClr val="accent4">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558198</xdr:colOff>
      <xdr:row>1</xdr:row>
      <xdr:rowOff>19050</xdr:rowOff>
    </xdr:from>
    <xdr:to>
      <xdr:col>15</xdr:col>
      <xdr:colOff>140302</xdr:colOff>
      <xdr:row>2</xdr:row>
      <xdr:rowOff>25400</xdr:rowOff>
    </xdr:to>
    <xdr:sp macro="" textlink="sales_data!T12">
      <xdr:nvSpPr>
        <xdr:cNvPr id="29" name="TextBox 28">
          <a:extLst>
            <a:ext uri="{FF2B5EF4-FFF2-40B4-BE49-F238E27FC236}">
              <a16:creationId xmlns:a16="http://schemas.microsoft.com/office/drawing/2014/main" id="{48B9E7EB-4BFD-0C8B-6008-1CFB4626C6EF}"/>
            </a:ext>
          </a:extLst>
        </xdr:cNvPr>
        <xdr:cNvSpPr txBox="1"/>
      </xdr:nvSpPr>
      <xdr:spPr>
        <a:xfrm>
          <a:off x="7846894" y="205409"/>
          <a:ext cx="1404278" cy="1927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8F71E5C-65E9-431D-BD24-FD275C2311BB}" type="TxLink">
            <a:rPr lang="en-US" sz="1100" b="1" i="0" u="none" strike="noStrike" cap="none" spc="50">
              <a:ln w="0"/>
              <a:solidFill>
                <a:schemeClr val="bg2"/>
              </a:solidFill>
              <a:effectLst>
                <a:innerShdw blurRad="63500" dist="50800" dir="13500000">
                  <a:srgbClr val="000000">
                    <a:alpha val="50000"/>
                  </a:srgbClr>
                </a:innerShdw>
              </a:effectLst>
              <a:latin typeface="Calibri"/>
              <a:cs typeface="Calibri"/>
            </a:rPr>
            <a:pPr/>
            <a:t>2301710</a:t>
          </a:fld>
          <a:endParaRPr lang="en-IN" sz="11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12</xdr:col>
      <xdr:colOff>431800</xdr:colOff>
      <xdr:row>0</xdr:row>
      <xdr:rowOff>31750</xdr:rowOff>
    </xdr:from>
    <xdr:to>
      <xdr:col>15</xdr:col>
      <xdr:colOff>177800</xdr:colOff>
      <xdr:row>1</xdr:row>
      <xdr:rowOff>107950</xdr:rowOff>
    </xdr:to>
    <xdr:sp macro="" textlink="">
      <xdr:nvSpPr>
        <xdr:cNvPr id="30" name="TextBox 29">
          <a:extLst>
            <a:ext uri="{FF2B5EF4-FFF2-40B4-BE49-F238E27FC236}">
              <a16:creationId xmlns:a16="http://schemas.microsoft.com/office/drawing/2014/main" id="{E938F18D-230C-E0F9-3651-5AD974BEA201}"/>
            </a:ext>
          </a:extLst>
        </xdr:cNvPr>
        <xdr:cNvSpPr txBox="1"/>
      </xdr:nvSpPr>
      <xdr:spPr>
        <a:xfrm>
          <a:off x="7747000" y="31750"/>
          <a:ext cx="15748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cap="none" spc="0">
              <a:ln w="0"/>
              <a:solidFill>
                <a:schemeClr val="tx1"/>
              </a:solidFill>
              <a:effectLst>
                <a:outerShdw blurRad="38100" dist="19050" dir="2700000" algn="tl" rotWithShape="0">
                  <a:schemeClr val="dk1">
                    <a:alpha val="40000"/>
                  </a:schemeClr>
                </a:outerShdw>
              </a:effectLst>
            </a:rPr>
            <a:t>TOTAL COST</a:t>
          </a:r>
        </a:p>
      </xdr:txBody>
    </xdr:sp>
    <xdr:clientData/>
  </xdr:twoCellAnchor>
  <xdr:twoCellAnchor editAs="oneCell">
    <xdr:from>
      <xdr:col>15</xdr:col>
      <xdr:colOff>331304</xdr:colOff>
      <xdr:row>9</xdr:row>
      <xdr:rowOff>60740</xdr:rowOff>
    </xdr:from>
    <xdr:to>
      <xdr:col>19</xdr:col>
      <xdr:colOff>20154</xdr:colOff>
      <xdr:row>23</xdr:row>
      <xdr:rowOff>6764</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8612CD2F-80BD-E13F-09DC-F1F2C7B869F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442174" y="1737968"/>
              <a:ext cx="2118415" cy="25550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98.552626620367" createdVersion="8" refreshedVersion="8" minRefreshableVersion="3" recordCount="51" xr:uid="{24D73C1B-0B8D-4445-9F1D-78D584313DB6}">
  <cacheSource type="worksheet">
    <worksheetSource ref="A1:M1048576" sheet="sales_data"/>
  </cacheSource>
  <cacheFields count="15">
    <cacheField name="Order ID" numFmtId="0">
      <sharedItems containsString="0" containsBlank="1" containsNumber="1" containsInteger="1" minValue="1001" maxValue="1050"/>
    </cacheField>
    <cacheField name="Date" numFmtId="0">
      <sharedItems containsNonDate="0" containsDate="1" containsString="0" containsBlank="1" minDate="2024-01-03T00:00:00" maxDate="2024-05-15T00:00:00" count="51">
        <d v="2024-01-03T00:00:00"/>
        <d v="2024-01-05T00:00:00"/>
        <d v="2024-01-07T00:00:00"/>
        <d v="2024-01-09T00:00:00"/>
        <d v="2024-01-12T00:00:00"/>
        <d v="2024-01-15T00:00:00"/>
        <d v="2024-01-18T00:00:00"/>
        <d v="2024-01-20T00:00:00"/>
        <d v="2024-01-22T00:00:00"/>
        <d v="2024-01-25T00:00:00"/>
        <d v="2024-01-28T00:00:00"/>
        <d v="2024-02-01T00:00:00"/>
        <d v="2024-02-03T00:00:00"/>
        <d v="2024-02-06T00:00:00"/>
        <d v="2024-02-08T00:00:00"/>
        <d v="2024-02-10T00:00:00"/>
        <d v="2024-02-13T00:00:00"/>
        <d v="2024-02-15T00:00:00"/>
        <d v="2024-02-18T00:00:00"/>
        <d v="2024-02-20T00:00:00"/>
        <d v="2024-02-22T00:00:00"/>
        <d v="2024-02-25T00:00:00"/>
        <d v="2024-02-28T00:00:00"/>
        <d v="2024-03-02T00:00:00"/>
        <d v="2024-03-05T00:00:00"/>
        <d v="2024-03-07T00:00:00"/>
        <d v="2024-03-10T00:00:00"/>
        <d v="2024-03-13T00:00:00"/>
        <d v="2024-03-15T00:00:00"/>
        <d v="2024-03-18T00:00:00"/>
        <d v="2024-03-20T00:00:00"/>
        <d v="2024-03-22T00:00:00"/>
        <d v="2024-03-25T00:00:00"/>
        <d v="2024-03-28T00:00:00"/>
        <d v="2024-04-01T00:00:00"/>
        <d v="2024-04-04T00:00:00"/>
        <d v="2024-04-07T00:00:00"/>
        <d v="2024-04-09T00:00:00"/>
        <d v="2024-04-12T00:00:00"/>
        <d v="2024-04-15T00:00:00"/>
        <d v="2024-04-18T00:00:00"/>
        <d v="2024-04-20T00:00:00"/>
        <d v="2024-04-23T00:00:00"/>
        <d v="2024-04-26T00:00:00"/>
        <d v="2024-04-29T00:00:00"/>
        <d v="2024-05-02T00:00:00"/>
        <d v="2024-05-05T00:00:00"/>
        <d v="2024-05-08T00:00:00"/>
        <d v="2024-05-11T00:00:00"/>
        <d v="2024-05-14T00:00:00"/>
        <m/>
      </sharedItems>
      <fieldGroup par="14"/>
    </cacheField>
    <cacheField name="Salesperson" numFmtId="0">
      <sharedItems containsBlank="1" count="6">
        <s v="Rahul Sharma"/>
        <s v="Priya Patel"/>
        <s v="Amit Kumar"/>
        <s v="Sneha Reddy"/>
        <s v="Vikram Singh"/>
        <m/>
      </sharedItems>
    </cacheField>
    <cacheField name="Region" numFmtId="0">
      <sharedItems containsBlank="1" count="5">
        <s v="North"/>
        <s v="West"/>
        <s v="South"/>
        <s v="East"/>
        <m/>
      </sharedItems>
    </cacheField>
    <cacheField name="Product" numFmtId="0">
      <sharedItems containsBlank="1" count="10">
        <s v="Laptop Pro X1"/>
        <s v="Office Chair Deluxe"/>
        <s v="Wireless Mouse"/>
        <s v="Standing Desk"/>
        <s v="Webcam HD"/>
        <s v="Ergonomic Keyboard"/>
        <s v="File Cabinet"/>
        <s v="Monitor 27inch"/>
        <s v="Printer Laser"/>
        <m/>
      </sharedItems>
    </cacheField>
    <cacheField name="Category" numFmtId="0">
      <sharedItems containsBlank="1" count="3">
        <s v="Electronics"/>
        <s v="Furniture"/>
        <m/>
      </sharedItems>
    </cacheField>
    <cacheField name="Units Sold" numFmtId="0">
      <sharedItems containsString="0" containsBlank="1" containsNumber="1" containsInteger="1" minValue="1" maxValue="30"/>
    </cacheField>
    <cacheField name="Unit Price" numFmtId="0">
      <sharedItems containsString="0" containsBlank="1" containsNumber="1" containsInteger="1" minValue="1200" maxValue="45000"/>
    </cacheField>
    <cacheField name="Total Sales" numFmtId="0">
      <sharedItems containsString="0" containsBlank="1" containsNumber="1" containsInteger="1" minValue="21600" maxValue="180000"/>
    </cacheField>
    <cacheField name="Cost" numFmtId="0">
      <sharedItems containsString="0" containsBlank="1" containsNumber="1" containsInteger="1" minValue="12960" maxValue="144000"/>
    </cacheField>
    <cacheField name="Profit" numFmtId="0">
      <sharedItems containsString="0" containsBlank="1" containsNumber="1" containsInteger="1" minValue="8640" maxValue="36000"/>
    </cacheField>
    <cacheField name="Customer Name" numFmtId="0">
      <sharedItems containsBlank="1"/>
    </cacheField>
    <cacheField name="Payment Status" numFmtId="0">
      <sharedItems containsBlank="1" count="3">
        <s v="Paid"/>
        <s v="Pending"/>
        <m/>
      </sharedItems>
    </cacheField>
    <cacheField name="Days (Date)" numFmtId="0" databaseField="0">
      <fieldGroup base="1">
        <rangePr groupBy="days" startDate="2024-01-03T00:00:00" endDate="2024-05-15T00:00:00"/>
        <groupItems count="368">
          <s v="&lt;03-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5-2024"/>
        </groupItems>
      </fieldGroup>
    </cacheField>
    <cacheField name="Months (Date)" numFmtId="0" databaseField="0">
      <fieldGroup base="1">
        <rangePr groupBy="months" startDate="2024-01-03T00:00:00" endDate="2024-05-15T00:00:00"/>
        <groupItems count="14">
          <s v="&lt;03-01-2024"/>
          <s v="Jan"/>
          <s v="Feb"/>
          <s v="Mar"/>
          <s v="Apr"/>
          <s v="May"/>
          <s v="Jun"/>
          <s v="Jul"/>
          <s v="Aug"/>
          <s v="Sep"/>
          <s v="Oct"/>
          <s v="Nov"/>
          <s v="Dec"/>
          <s v="&gt;15-05-2024"/>
        </groupItems>
      </fieldGroup>
    </cacheField>
  </cacheFields>
  <extLst>
    <ext xmlns:x14="http://schemas.microsoft.com/office/spreadsheetml/2009/9/main" uri="{725AE2AE-9491-48be-B2B4-4EB974FC3084}">
      <x14:pivotCacheDefinition pivotCacheId="44898952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99.516268749998" createdVersion="8" refreshedVersion="8" minRefreshableVersion="3" recordCount="50" xr:uid="{23CA5512-32F7-459B-A492-ADFE27390DFF}">
  <cacheSource type="worksheet">
    <worksheetSource ref="A1:M51" sheet="sales_data"/>
  </cacheSource>
  <cacheFields count="13">
    <cacheField name="Order ID" numFmtId="0">
      <sharedItems containsSemiMixedTypes="0" containsString="0" containsNumber="1" containsInteger="1" minValue="1001" maxValue="1050"/>
    </cacheField>
    <cacheField name="Date" numFmtId="14">
      <sharedItems containsSemiMixedTypes="0" containsNonDate="0" containsDate="1" containsString="0" minDate="2024-01-03T00:00:00" maxDate="2024-05-15T00:00:00"/>
    </cacheField>
    <cacheField name="Salesperson" numFmtId="0">
      <sharedItems/>
    </cacheField>
    <cacheField name="Region" numFmtId="0">
      <sharedItems count="4">
        <s v="North"/>
        <s v="West"/>
        <s v="South"/>
        <s v="East"/>
      </sharedItems>
    </cacheField>
    <cacheField name="Product" numFmtId="0">
      <sharedItems count="9">
        <s v="Laptop Pro X1"/>
        <s v="Office Chair Deluxe"/>
        <s v="Wireless Mouse"/>
        <s v="Standing Desk"/>
        <s v="Webcam HD"/>
        <s v="Ergonomic Keyboard"/>
        <s v="File Cabinet"/>
        <s v="Monitor 27inch"/>
        <s v="Printer Laser"/>
      </sharedItems>
    </cacheField>
    <cacheField name="Category" numFmtId="0">
      <sharedItems count="2">
        <s v="Electronics"/>
        <s v="Furniture"/>
      </sharedItems>
    </cacheField>
    <cacheField name="Units Sold" numFmtId="0">
      <sharedItems containsSemiMixedTypes="0" containsString="0" containsNumber="1" containsInteger="1" minValue="1" maxValue="30"/>
    </cacheField>
    <cacheField name="Unit Price" numFmtId="0">
      <sharedItems containsSemiMixedTypes="0" containsString="0" containsNumber="1" containsInteger="1" minValue="1200" maxValue="45000"/>
    </cacheField>
    <cacheField name="Total Sales" numFmtId="0">
      <sharedItems containsSemiMixedTypes="0" containsString="0" containsNumber="1" containsInteger="1" minValue="21600" maxValue="180000"/>
    </cacheField>
    <cacheField name="Cost" numFmtId="0">
      <sharedItems containsSemiMixedTypes="0" containsString="0" containsNumber="1" containsInteger="1" minValue="12960" maxValue="144000"/>
    </cacheField>
    <cacheField name="Profit" numFmtId="0">
      <sharedItems containsSemiMixedTypes="0" containsString="0" containsNumber="1" containsInteger="1" minValue="8640" maxValue="36000"/>
    </cacheField>
    <cacheField name="Customer Name" numFmtId="0">
      <sharedItems/>
    </cacheField>
    <cacheField name="Payment Status"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4.314611574075" backgroundQuery="1" createdVersion="8" refreshedVersion="8" minRefreshableVersion="3" recordCount="0" supportSubquery="1" supportAdvancedDrill="1" xr:uid="{52958428-9F68-403C-ABF9-B6557597C524}">
  <cacheSource type="external" connectionId="1"/>
  <cacheFields count="1">
    <cacheField name="[Measures].[Sum of Cost]" caption="Sum of Cost" numFmtId="0" hierarchy="19" level="32767"/>
  </cacheFields>
  <cacheHierarchies count="21">
    <cacheHierarchy uniqueName="[Range].[Order ID]" caption="Order ID" attribute="1" defaultMemberUniqueName="[Range].[Order ID].[All]" allUniqueName="[Range].[Order ID].[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person]" caption="Salesperson" attribute="1" defaultMemberUniqueName="[Range].[Salesperson].[All]" allUniqueName="[Range].[Salesperson].[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20"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Payment Status]" caption="Payment Status" attribute="1" defaultMemberUniqueName="[Range].[Payment Status].[All]" allUniqueName="[Range].[Payment Statu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 caption="Count of Region" measure="1" displayFolder="" measureGroup="Range" count="0" hidden="1">
      <extLst>
        <ext xmlns:x15="http://schemas.microsoft.com/office/spreadsheetml/2010/11/main" uri="{B97F6D7D-B522-45F9-BDA1-12C45D357490}">
          <x15:cacheHierarchy aggregatedColumn="3"/>
        </ext>
      </extLst>
    </cacheHierarchy>
    <cacheHierarchy uniqueName="[Measures].[Count of Product]" caption="Count of Product" measure="1" displayFolder="" measureGroup="Range" count="0" hidden="1">
      <extLst>
        <ext xmlns:x15="http://schemas.microsoft.com/office/spreadsheetml/2010/11/main" uri="{B97F6D7D-B522-45F9-BDA1-12C45D357490}">
          <x15:cacheHierarchy aggregatedColumn="4"/>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7"/>
        </ext>
      </extLst>
    </cacheHierarchy>
    <cacheHierarchy uniqueName="[Measures].[Sum of Total Sales]" caption="Sum of Total Sales" measure="1" displayFolder="" measureGroup="Range" count="0" hidden="1">
      <extLst>
        <ext xmlns:x15="http://schemas.microsoft.com/office/spreadsheetml/2010/11/main" uri="{B97F6D7D-B522-45F9-BDA1-12C45D357490}">
          <x15:cacheHierarchy aggregatedColumn="8"/>
        </ext>
      </extLst>
    </cacheHierarchy>
    <cacheHierarchy uniqueName="[Measures].[Sum of Cost]" caption="Sum of Cost" measure="1" displayFolder="" measureGroup="Range" count="0" oneField="1" hidden="1">
      <fieldsUsage count="1">
        <fieldUsage x="0"/>
      </fieldsUsage>
      <extLst>
        <ext xmlns:x15="http://schemas.microsoft.com/office/spreadsheetml/2010/11/main" uri="{B97F6D7D-B522-45F9-BDA1-12C45D357490}">
          <x15:cacheHierarchy aggregatedColumn="9"/>
        </ext>
      </extLst>
    </cacheHierarchy>
    <cacheHierarchy uniqueName="[Measures].[Average of Unit Price]" caption="Average of Unit Price"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4.314366666666" backgroundQuery="1" createdVersion="8" refreshedVersion="8" minRefreshableVersion="3" recordCount="0" supportSubquery="1" supportAdvancedDrill="1" xr:uid="{7A52F984-5926-4B43-966C-113D4F832CE4}">
  <cacheSource type="external" connectionId="1"/>
  <cacheFields count="1">
    <cacheField name="[Measures].[Sum of Total Sales]" caption="Sum of Total Sales" numFmtId="0" hierarchy="18" level="32767"/>
  </cacheFields>
  <cacheHierarchies count="21">
    <cacheHierarchy uniqueName="[Range].[Order ID]" caption="Order ID" attribute="1" defaultMemberUniqueName="[Range].[Order ID].[All]" allUniqueName="[Range].[Order ID].[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person]" caption="Salesperson" attribute="1" defaultMemberUniqueName="[Range].[Salesperson].[All]" allUniqueName="[Range].[Salesperson].[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20"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Payment Status]" caption="Payment Status" attribute="1" defaultMemberUniqueName="[Range].[Payment Status].[All]" allUniqueName="[Range].[Payment Statu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 caption="Count of Region" measure="1" displayFolder="" measureGroup="Range" count="0" hidden="1">
      <extLst>
        <ext xmlns:x15="http://schemas.microsoft.com/office/spreadsheetml/2010/11/main" uri="{B97F6D7D-B522-45F9-BDA1-12C45D357490}">
          <x15:cacheHierarchy aggregatedColumn="3"/>
        </ext>
      </extLst>
    </cacheHierarchy>
    <cacheHierarchy uniqueName="[Measures].[Count of Product]" caption="Count of Product" measure="1" displayFolder="" measureGroup="Range" count="0" hidden="1">
      <extLst>
        <ext xmlns:x15="http://schemas.microsoft.com/office/spreadsheetml/2010/11/main" uri="{B97F6D7D-B522-45F9-BDA1-12C45D357490}">
          <x15:cacheHierarchy aggregatedColumn="4"/>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7"/>
        </ext>
      </extLst>
    </cacheHierarchy>
    <cacheHierarchy uniqueName="[Measures].[Sum of Total Sales]" caption="Sum of Total Sales"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9"/>
        </ext>
      </extLst>
    </cacheHierarchy>
    <cacheHierarchy uniqueName="[Measures].[Average of Unit Price]" caption="Average of Unit Price"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4.346352893517" backgroundQuery="1" createdVersion="8" refreshedVersion="8" minRefreshableVersion="3" recordCount="0" supportSubquery="1" supportAdvancedDrill="1" xr:uid="{9AC301BB-7F05-4076-8DA3-080FCA8CCA21}">
  <cacheSource type="external" connectionId="1"/>
  <cacheFields count="1">
    <cacheField name="[Measures].[Average of Unit Price]" caption="Average of Unit Price" numFmtId="0" hierarchy="20" level="32767"/>
  </cacheFields>
  <cacheHierarchies count="21">
    <cacheHierarchy uniqueName="[Range].[Order ID]" caption="Order ID" attribute="1" defaultMemberUniqueName="[Range].[Order ID].[All]" allUniqueName="[Range].[Order ID].[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person]" caption="Salesperson" attribute="1" defaultMemberUniqueName="[Range].[Salesperson].[All]" allUniqueName="[Range].[Salesperson].[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20"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Payment Status]" caption="Payment Status" attribute="1" defaultMemberUniqueName="[Range].[Payment Status].[All]" allUniqueName="[Range].[Payment Statu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 caption="Count of Region" measure="1" displayFolder="" measureGroup="Range" count="0" hidden="1">
      <extLst>
        <ext xmlns:x15="http://schemas.microsoft.com/office/spreadsheetml/2010/11/main" uri="{B97F6D7D-B522-45F9-BDA1-12C45D357490}">
          <x15:cacheHierarchy aggregatedColumn="3"/>
        </ext>
      </extLst>
    </cacheHierarchy>
    <cacheHierarchy uniqueName="[Measures].[Count of Product]" caption="Count of Product" measure="1" displayFolder="" measureGroup="Range" count="0" hidden="1">
      <extLst>
        <ext xmlns:x15="http://schemas.microsoft.com/office/spreadsheetml/2010/11/main" uri="{B97F6D7D-B522-45F9-BDA1-12C45D357490}">
          <x15:cacheHierarchy aggregatedColumn="4"/>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7"/>
        </ext>
      </extLst>
    </cacheHierarchy>
    <cacheHierarchy uniqueName="[Measures].[Sum of Total Sales]" caption="Sum of Total Sales" measure="1" displayFolder="" measureGroup="Range" count="0" hidden="1">
      <extLst>
        <ext xmlns:x15="http://schemas.microsoft.com/office/spreadsheetml/2010/11/main" uri="{B97F6D7D-B522-45F9-BDA1-12C45D357490}">
          <x15:cacheHierarchy aggregatedColumn="8"/>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9"/>
        </ext>
      </extLst>
    </cacheHierarchy>
    <cacheHierarchy uniqueName="[Measures].[Average of Unit Price]" caption="Average of Unit Price" measure="1" displayFolder="" measureGroup="Range" count="0" oneField="1" hidden="1">
      <fieldsUsage count="1">
        <fieldUsage x="0"/>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n v="1001"/>
    <x v="0"/>
    <x v="0"/>
    <x v="0"/>
    <x v="0"/>
    <x v="0"/>
    <n v="2"/>
    <n v="45000"/>
    <n v="90000"/>
    <n v="72000"/>
    <n v="18000"/>
    <s v="Tech Solutions Pvt Ltd"/>
    <x v="0"/>
  </r>
  <r>
    <n v="1002"/>
    <x v="1"/>
    <x v="1"/>
    <x v="1"/>
    <x v="1"/>
    <x v="1"/>
    <n v="5"/>
    <n v="8500"/>
    <n v="42500"/>
    <n v="29750"/>
    <n v="12750"/>
    <s v="Mumbai Interiors"/>
    <x v="0"/>
  </r>
  <r>
    <n v="1003"/>
    <x v="2"/>
    <x v="2"/>
    <x v="2"/>
    <x v="2"/>
    <x v="0"/>
    <n v="20"/>
    <n v="1200"/>
    <n v="24000"/>
    <n v="14400"/>
    <n v="9600"/>
    <s v="Bangalore Tech Hub"/>
    <x v="1"/>
  </r>
  <r>
    <n v="1004"/>
    <x v="3"/>
    <x v="3"/>
    <x v="3"/>
    <x v="3"/>
    <x v="1"/>
    <n v="3"/>
    <n v="22000"/>
    <n v="66000"/>
    <n v="46200"/>
    <n v="19800"/>
    <s v="Kolkata Offices"/>
    <x v="0"/>
  </r>
  <r>
    <n v="1005"/>
    <x v="4"/>
    <x v="0"/>
    <x v="0"/>
    <x v="0"/>
    <x v="0"/>
    <n v="1"/>
    <n v="45000"/>
    <n v="45000"/>
    <n v="36000"/>
    <n v="9000"/>
    <s v="Delhi Enterprises"/>
    <x v="0"/>
  </r>
  <r>
    <n v="1006"/>
    <x v="5"/>
    <x v="4"/>
    <x v="1"/>
    <x v="4"/>
    <x v="0"/>
    <n v="15"/>
    <n v="3500"/>
    <n v="52500"/>
    <n v="31500"/>
    <n v="21000"/>
    <s v="Pune Startups"/>
    <x v="0"/>
  </r>
  <r>
    <n v="1007"/>
    <x v="6"/>
    <x v="1"/>
    <x v="1"/>
    <x v="5"/>
    <x v="0"/>
    <n v="10"/>
    <n v="2800"/>
    <n v="28000"/>
    <n v="16800"/>
    <n v="11200"/>
    <s v="Mumbai Tech"/>
    <x v="1"/>
  </r>
  <r>
    <n v="1008"/>
    <x v="7"/>
    <x v="2"/>
    <x v="2"/>
    <x v="6"/>
    <x v="1"/>
    <n v="4"/>
    <n v="12000"/>
    <n v="48000"/>
    <n v="33600"/>
    <n v="14400"/>
    <s v="Chennai Corp"/>
    <x v="0"/>
  </r>
  <r>
    <n v="1009"/>
    <x v="8"/>
    <x v="3"/>
    <x v="3"/>
    <x v="7"/>
    <x v="0"/>
    <n v="6"/>
    <n v="18000"/>
    <n v="108000"/>
    <n v="75600"/>
    <n v="32400"/>
    <s v="Kolkata Digital"/>
    <x v="0"/>
  </r>
  <r>
    <n v="1010"/>
    <x v="9"/>
    <x v="0"/>
    <x v="0"/>
    <x v="8"/>
    <x v="0"/>
    <n v="3"/>
    <n v="15000"/>
    <n v="45000"/>
    <n v="31500"/>
    <n v="13500"/>
    <s v="Noida Systems"/>
    <x v="0"/>
  </r>
  <r>
    <n v="1011"/>
    <x v="10"/>
    <x v="4"/>
    <x v="1"/>
    <x v="0"/>
    <x v="0"/>
    <n v="2"/>
    <n v="45000"/>
    <n v="90000"/>
    <n v="72000"/>
    <n v="18000"/>
    <s v="Ahmedabad IT"/>
    <x v="1"/>
  </r>
  <r>
    <n v="1012"/>
    <x v="11"/>
    <x v="1"/>
    <x v="1"/>
    <x v="1"/>
    <x v="1"/>
    <n v="8"/>
    <n v="8500"/>
    <n v="68000"/>
    <n v="47600"/>
    <n v="20400"/>
    <s v="Mumbai Interiors"/>
    <x v="0"/>
  </r>
  <r>
    <n v="1013"/>
    <x v="12"/>
    <x v="2"/>
    <x v="2"/>
    <x v="2"/>
    <x v="0"/>
    <n v="25"/>
    <n v="1200"/>
    <n v="30000"/>
    <n v="18000"/>
    <n v="12000"/>
    <s v="Hyderabad Tech"/>
    <x v="0"/>
  </r>
  <r>
    <n v="1014"/>
    <x v="13"/>
    <x v="3"/>
    <x v="3"/>
    <x v="4"/>
    <x v="0"/>
    <n v="10"/>
    <n v="3500"/>
    <n v="35000"/>
    <n v="21000"/>
    <n v="14000"/>
    <s v="Kolkata Offices"/>
    <x v="0"/>
  </r>
  <r>
    <n v="1015"/>
    <x v="14"/>
    <x v="0"/>
    <x v="0"/>
    <x v="3"/>
    <x v="1"/>
    <n v="2"/>
    <n v="22000"/>
    <n v="44000"/>
    <n v="30800"/>
    <n v="13200"/>
    <s v="Delhi Corp"/>
    <x v="0"/>
  </r>
  <r>
    <n v="1016"/>
    <x v="15"/>
    <x v="4"/>
    <x v="1"/>
    <x v="7"/>
    <x v="0"/>
    <n v="4"/>
    <n v="18000"/>
    <n v="72000"/>
    <n v="50400"/>
    <n v="21600"/>
    <s v="Pune Digital"/>
    <x v="1"/>
  </r>
  <r>
    <n v="1017"/>
    <x v="16"/>
    <x v="1"/>
    <x v="1"/>
    <x v="5"/>
    <x v="0"/>
    <n v="12"/>
    <n v="2800"/>
    <n v="33600"/>
    <n v="20160"/>
    <n v="13440"/>
    <s v="Mumbai Startups"/>
    <x v="0"/>
  </r>
  <r>
    <n v="1018"/>
    <x v="17"/>
    <x v="2"/>
    <x v="2"/>
    <x v="0"/>
    <x v="0"/>
    <n v="3"/>
    <n v="45000"/>
    <n v="135000"/>
    <n v="108000"/>
    <n v="27000"/>
    <s v="Bangalore Corp"/>
    <x v="0"/>
  </r>
  <r>
    <n v="1019"/>
    <x v="18"/>
    <x v="3"/>
    <x v="3"/>
    <x v="6"/>
    <x v="1"/>
    <n v="6"/>
    <n v="12000"/>
    <n v="72000"/>
    <n v="50400"/>
    <n v="21600"/>
    <s v="Kolkata Enterprises"/>
    <x v="0"/>
  </r>
  <r>
    <n v="1020"/>
    <x v="19"/>
    <x v="0"/>
    <x v="0"/>
    <x v="8"/>
    <x v="0"/>
    <n v="2"/>
    <n v="15000"/>
    <n v="30000"/>
    <n v="21000"/>
    <n v="9000"/>
    <s v="Gurgaon Tech"/>
    <x v="0"/>
  </r>
  <r>
    <n v="1021"/>
    <x v="20"/>
    <x v="4"/>
    <x v="1"/>
    <x v="1"/>
    <x v="1"/>
    <n v="10"/>
    <n v="8500"/>
    <n v="85000"/>
    <n v="59500"/>
    <n v="25500"/>
    <s v="Ahmedabad Corp"/>
    <x v="0"/>
  </r>
  <r>
    <n v="1022"/>
    <x v="21"/>
    <x v="1"/>
    <x v="1"/>
    <x v="2"/>
    <x v="0"/>
    <n v="30"/>
    <n v="1200"/>
    <n v="36000"/>
    <n v="21600"/>
    <n v="14400"/>
    <s v="Mumbai Digital"/>
    <x v="1"/>
  </r>
  <r>
    <n v="1023"/>
    <x v="22"/>
    <x v="2"/>
    <x v="2"/>
    <x v="7"/>
    <x v="0"/>
    <n v="5"/>
    <n v="18000"/>
    <n v="90000"/>
    <n v="63000"/>
    <n v="27000"/>
    <s v="Chennai Tech"/>
    <x v="0"/>
  </r>
  <r>
    <n v="1024"/>
    <x v="23"/>
    <x v="3"/>
    <x v="3"/>
    <x v="0"/>
    <x v="0"/>
    <n v="2"/>
    <n v="45000"/>
    <n v="90000"/>
    <n v="72000"/>
    <n v="18000"/>
    <s v="Kolkata IT"/>
    <x v="0"/>
  </r>
  <r>
    <n v="1025"/>
    <x v="24"/>
    <x v="0"/>
    <x v="0"/>
    <x v="4"/>
    <x v="0"/>
    <n v="8"/>
    <n v="3500"/>
    <n v="28000"/>
    <n v="16800"/>
    <n v="11200"/>
    <s v="Delhi Startups"/>
    <x v="0"/>
  </r>
  <r>
    <n v="1026"/>
    <x v="25"/>
    <x v="4"/>
    <x v="1"/>
    <x v="3"/>
    <x v="1"/>
    <n v="4"/>
    <n v="22000"/>
    <n v="88000"/>
    <n v="61600"/>
    <n v="26400"/>
    <s v="Pune Corp"/>
    <x v="1"/>
  </r>
  <r>
    <n v="1027"/>
    <x v="26"/>
    <x v="1"/>
    <x v="1"/>
    <x v="5"/>
    <x v="0"/>
    <n v="15"/>
    <n v="2800"/>
    <n v="42000"/>
    <n v="25200"/>
    <n v="16800"/>
    <s v="Mumbai Systems"/>
    <x v="0"/>
  </r>
  <r>
    <n v="1028"/>
    <x v="27"/>
    <x v="2"/>
    <x v="2"/>
    <x v="8"/>
    <x v="0"/>
    <n v="4"/>
    <n v="15000"/>
    <n v="60000"/>
    <n v="42000"/>
    <n v="18000"/>
    <s v="Hyderabad Corp"/>
    <x v="0"/>
  </r>
  <r>
    <n v="1029"/>
    <x v="28"/>
    <x v="3"/>
    <x v="3"/>
    <x v="1"/>
    <x v="1"/>
    <n v="7"/>
    <n v="8500"/>
    <n v="59500"/>
    <n v="41650"/>
    <n v="17850"/>
    <s v="Kolkata Offices"/>
    <x v="0"/>
  </r>
  <r>
    <n v="1030"/>
    <x v="29"/>
    <x v="0"/>
    <x v="0"/>
    <x v="7"/>
    <x v="0"/>
    <n v="3"/>
    <n v="18000"/>
    <n v="54000"/>
    <n v="37800"/>
    <n v="16200"/>
    <s v="Noida Corp"/>
    <x v="0"/>
  </r>
  <r>
    <n v="1031"/>
    <x v="30"/>
    <x v="4"/>
    <x v="1"/>
    <x v="0"/>
    <x v="0"/>
    <n v="4"/>
    <n v="45000"/>
    <n v="180000"/>
    <n v="144000"/>
    <n v="36000"/>
    <s v="Ahmedabad Tech"/>
    <x v="0"/>
  </r>
  <r>
    <n v="1032"/>
    <x v="31"/>
    <x v="1"/>
    <x v="1"/>
    <x v="6"/>
    <x v="1"/>
    <n v="5"/>
    <n v="12000"/>
    <n v="60000"/>
    <n v="42000"/>
    <n v="18000"/>
    <s v="Mumbai Corp"/>
    <x v="1"/>
  </r>
  <r>
    <n v="1033"/>
    <x v="32"/>
    <x v="2"/>
    <x v="2"/>
    <x v="2"/>
    <x v="0"/>
    <n v="18"/>
    <n v="1200"/>
    <n v="21600"/>
    <n v="12960"/>
    <n v="8640"/>
    <s v="Bangalore Digital"/>
    <x v="0"/>
  </r>
  <r>
    <n v="1034"/>
    <x v="33"/>
    <x v="3"/>
    <x v="3"/>
    <x v="4"/>
    <x v="0"/>
    <n v="12"/>
    <n v="3500"/>
    <n v="42000"/>
    <n v="25200"/>
    <n v="16800"/>
    <s v="Kolkata Tech"/>
    <x v="0"/>
  </r>
  <r>
    <n v="1035"/>
    <x v="34"/>
    <x v="0"/>
    <x v="0"/>
    <x v="3"/>
    <x v="1"/>
    <n v="3"/>
    <n v="22000"/>
    <n v="66000"/>
    <n v="46200"/>
    <n v="19800"/>
    <s v="Delhi Tech"/>
    <x v="0"/>
  </r>
  <r>
    <n v="1036"/>
    <x v="35"/>
    <x v="4"/>
    <x v="1"/>
    <x v="5"/>
    <x v="0"/>
    <n v="20"/>
    <n v="2800"/>
    <n v="56000"/>
    <n v="33600"/>
    <n v="22400"/>
    <s v="Pune Startups"/>
    <x v="0"/>
  </r>
  <r>
    <n v="1037"/>
    <x v="36"/>
    <x v="1"/>
    <x v="1"/>
    <x v="0"/>
    <x v="0"/>
    <n v="2"/>
    <n v="45000"/>
    <n v="90000"/>
    <n v="72000"/>
    <n v="18000"/>
    <s v="Mumbai IT"/>
    <x v="0"/>
  </r>
  <r>
    <n v="1038"/>
    <x v="37"/>
    <x v="2"/>
    <x v="2"/>
    <x v="8"/>
    <x v="0"/>
    <n v="5"/>
    <n v="15000"/>
    <n v="75000"/>
    <n v="52500"/>
    <n v="22500"/>
    <s v="Chennai Systems"/>
    <x v="1"/>
  </r>
  <r>
    <n v="1039"/>
    <x v="38"/>
    <x v="3"/>
    <x v="3"/>
    <x v="7"/>
    <x v="0"/>
    <n v="4"/>
    <n v="18000"/>
    <n v="72000"/>
    <n v="50400"/>
    <n v="21600"/>
    <s v="Kolkata Corp"/>
    <x v="0"/>
  </r>
  <r>
    <n v="1040"/>
    <x v="39"/>
    <x v="0"/>
    <x v="0"/>
    <x v="1"/>
    <x v="1"/>
    <n v="6"/>
    <n v="8500"/>
    <n v="51000"/>
    <n v="35700"/>
    <n v="15300"/>
    <s v="Gurgaon Corp"/>
    <x v="0"/>
  </r>
  <r>
    <n v="1041"/>
    <x v="40"/>
    <x v="4"/>
    <x v="1"/>
    <x v="6"/>
    <x v="1"/>
    <n v="8"/>
    <n v="12000"/>
    <n v="96000"/>
    <n v="67200"/>
    <n v="28800"/>
    <s v="Ahmedabad Digital"/>
    <x v="0"/>
  </r>
  <r>
    <n v="1042"/>
    <x v="41"/>
    <x v="1"/>
    <x v="1"/>
    <x v="4"/>
    <x v="0"/>
    <n v="18"/>
    <n v="3500"/>
    <n v="63000"/>
    <n v="37800"/>
    <n v="25200"/>
    <s v="Mumbai Enterprises"/>
    <x v="0"/>
  </r>
  <r>
    <n v="1043"/>
    <x v="42"/>
    <x v="2"/>
    <x v="2"/>
    <x v="0"/>
    <x v="0"/>
    <n v="1"/>
    <n v="45000"/>
    <n v="45000"/>
    <n v="36000"/>
    <n v="9000"/>
    <s v="Hyderabad IT"/>
    <x v="1"/>
  </r>
  <r>
    <n v="1044"/>
    <x v="43"/>
    <x v="3"/>
    <x v="3"/>
    <x v="2"/>
    <x v="0"/>
    <n v="22"/>
    <n v="1200"/>
    <n v="26400"/>
    <n v="15840"/>
    <n v="10560"/>
    <s v="Kolkata Systems"/>
    <x v="0"/>
  </r>
  <r>
    <n v="1045"/>
    <x v="44"/>
    <x v="0"/>
    <x v="0"/>
    <x v="5"/>
    <x v="0"/>
    <n v="10"/>
    <n v="2800"/>
    <n v="28000"/>
    <n v="16800"/>
    <n v="11200"/>
    <s v="Delhi Digital"/>
    <x v="0"/>
  </r>
  <r>
    <n v="1046"/>
    <x v="45"/>
    <x v="4"/>
    <x v="1"/>
    <x v="3"/>
    <x v="1"/>
    <n v="5"/>
    <n v="22000"/>
    <n v="110000"/>
    <n v="77000"/>
    <n v="33000"/>
    <s v="Pune Tech"/>
    <x v="0"/>
  </r>
  <r>
    <n v="1047"/>
    <x v="46"/>
    <x v="1"/>
    <x v="1"/>
    <x v="7"/>
    <x v="0"/>
    <n v="6"/>
    <n v="18000"/>
    <n v="108000"/>
    <n v="75600"/>
    <n v="32400"/>
    <s v="Mumbai Corp"/>
    <x v="0"/>
  </r>
  <r>
    <n v="1048"/>
    <x v="47"/>
    <x v="2"/>
    <x v="2"/>
    <x v="1"/>
    <x v="1"/>
    <n v="9"/>
    <n v="8500"/>
    <n v="76500"/>
    <n v="53550"/>
    <n v="22950"/>
    <s v="Bangalore Corp"/>
    <x v="1"/>
  </r>
  <r>
    <n v="1049"/>
    <x v="48"/>
    <x v="3"/>
    <x v="3"/>
    <x v="8"/>
    <x v="0"/>
    <n v="3"/>
    <n v="15000"/>
    <n v="45000"/>
    <n v="31500"/>
    <n v="13500"/>
    <s v="Kolkata Digital"/>
    <x v="0"/>
  </r>
  <r>
    <n v="1050"/>
    <x v="49"/>
    <x v="0"/>
    <x v="0"/>
    <x v="0"/>
    <x v="0"/>
    <n v="3"/>
    <n v="45000"/>
    <n v="135000"/>
    <n v="108000"/>
    <n v="27000"/>
    <s v="Noida IT"/>
    <x v="0"/>
  </r>
  <r>
    <m/>
    <x v="50"/>
    <x v="5"/>
    <x v="4"/>
    <x v="9"/>
    <x v="2"/>
    <m/>
    <m/>
    <m/>
    <m/>
    <m/>
    <m/>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001"/>
    <d v="2024-01-03T00:00:00"/>
    <s v="Rahul Sharma"/>
    <x v="0"/>
    <x v="0"/>
    <x v="0"/>
    <n v="2"/>
    <n v="45000"/>
    <n v="90000"/>
    <n v="72000"/>
    <n v="18000"/>
    <s v="Tech Solutions Pvt Ltd"/>
    <s v="Paid"/>
  </r>
  <r>
    <n v="1002"/>
    <d v="2024-01-05T00:00:00"/>
    <s v="Priya Patel"/>
    <x v="1"/>
    <x v="1"/>
    <x v="1"/>
    <n v="5"/>
    <n v="8500"/>
    <n v="42500"/>
    <n v="29750"/>
    <n v="12750"/>
    <s v="Mumbai Interiors"/>
    <s v="Paid"/>
  </r>
  <r>
    <n v="1003"/>
    <d v="2024-01-07T00:00:00"/>
    <s v="Amit Kumar"/>
    <x v="2"/>
    <x v="2"/>
    <x v="0"/>
    <n v="20"/>
    <n v="1200"/>
    <n v="24000"/>
    <n v="14400"/>
    <n v="9600"/>
    <s v="Bangalore Tech Hub"/>
    <s v="Pending"/>
  </r>
  <r>
    <n v="1004"/>
    <d v="2024-01-09T00:00:00"/>
    <s v="Sneha Reddy"/>
    <x v="3"/>
    <x v="3"/>
    <x v="1"/>
    <n v="3"/>
    <n v="22000"/>
    <n v="66000"/>
    <n v="46200"/>
    <n v="19800"/>
    <s v="Kolkata Offices"/>
    <s v="Paid"/>
  </r>
  <r>
    <n v="1005"/>
    <d v="2024-01-12T00:00:00"/>
    <s v="Rahul Sharma"/>
    <x v="0"/>
    <x v="0"/>
    <x v="0"/>
    <n v="1"/>
    <n v="45000"/>
    <n v="45000"/>
    <n v="36000"/>
    <n v="9000"/>
    <s v="Delhi Enterprises"/>
    <s v="Paid"/>
  </r>
  <r>
    <n v="1006"/>
    <d v="2024-01-15T00:00:00"/>
    <s v="Vikram Singh"/>
    <x v="1"/>
    <x v="4"/>
    <x v="0"/>
    <n v="15"/>
    <n v="3500"/>
    <n v="52500"/>
    <n v="31500"/>
    <n v="21000"/>
    <s v="Pune Startups"/>
    <s v="Paid"/>
  </r>
  <r>
    <n v="1007"/>
    <d v="2024-01-18T00:00:00"/>
    <s v="Priya Patel"/>
    <x v="1"/>
    <x v="5"/>
    <x v="0"/>
    <n v="10"/>
    <n v="2800"/>
    <n v="28000"/>
    <n v="16800"/>
    <n v="11200"/>
    <s v="Mumbai Tech"/>
    <s v="Pending"/>
  </r>
  <r>
    <n v="1008"/>
    <d v="2024-01-20T00:00:00"/>
    <s v="Amit Kumar"/>
    <x v="2"/>
    <x v="6"/>
    <x v="1"/>
    <n v="4"/>
    <n v="12000"/>
    <n v="48000"/>
    <n v="33600"/>
    <n v="14400"/>
    <s v="Chennai Corp"/>
    <s v="Paid"/>
  </r>
  <r>
    <n v="1009"/>
    <d v="2024-01-22T00:00:00"/>
    <s v="Sneha Reddy"/>
    <x v="3"/>
    <x v="7"/>
    <x v="0"/>
    <n v="6"/>
    <n v="18000"/>
    <n v="108000"/>
    <n v="75600"/>
    <n v="32400"/>
    <s v="Kolkata Digital"/>
    <s v="Paid"/>
  </r>
  <r>
    <n v="1010"/>
    <d v="2024-01-25T00:00:00"/>
    <s v="Rahul Sharma"/>
    <x v="0"/>
    <x v="8"/>
    <x v="0"/>
    <n v="3"/>
    <n v="15000"/>
    <n v="45000"/>
    <n v="31500"/>
    <n v="13500"/>
    <s v="Noida Systems"/>
    <s v="Paid"/>
  </r>
  <r>
    <n v="1011"/>
    <d v="2024-01-28T00:00:00"/>
    <s v="Vikram Singh"/>
    <x v="1"/>
    <x v="0"/>
    <x v="0"/>
    <n v="2"/>
    <n v="45000"/>
    <n v="90000"/>
    <n v="72000"/>
    <n v="18000"/>
    <s v="Ahmedabad IT"/>
    <s v="Pending"/>
  </r>
  <r>
    <n v="1012"/>
    <d v="2024-02-01T00:00:00"/>
    <s v="Priya Patel"/>
    <x v="1"/>
    <x v="1"/>
    <x v="1"/>
    <n v="8"/>
    <n v="8500"/>
    <n v="68000"/>
    <n v="47600"/>
    <n v="20400"/>
    <s v="Mumbai Interiors"/>
    <s v="Paid"/>
  </r>
  <r>
    <n v="1013"/>
    <d v="2024-02-03T00:00:00"/>
    <s v="Amit Kumar"/>
    <x v="2"/>
    <x v="2"/>
    <x v="0"/>
    <n v="25"/>
    <n v="1200"/>
    <n v="30000"/>
    <n v="18000"/>
    <n v="12000"/>
    <s v="Hyderabad Tech"/>
    <s v="Paid"/>
  </r>
  <r>
    <n v="1014"/>
    <d v="2024-02-06T00:00:00"/>
    <s v="Sneha Reddy"/>
    <x v="3"/>
    <x v="4"/>
    <x v="0"/>
    <n v="10"/>
    <n v="3500"/>
    <n v="35000"/>
    <n v="21000"/>
    <n v="14000"/>
    <s v="Kolkata Offices"/>
    <s v="Paid"/>
  </r>
  <r>
    <n v="1015"/>
    <d v="2024-02-08T00:00:00"/>
    <s v="Rahul Sharma"/>
    <x v="0"/>
    <x v="3"/>
    <x v="1"/>
    <n v="2"/>
    <n v="22000"/>
    <n v="44000"/>
    <n v="30800"/>
    <n v="13200"/>
    <s v="Delhi Corp"/>
    <s v="Paid"/>
  </r>
  <r>
    <n v="1016"/>
    <d v="2024-02-10T00:00:00"/>
    <s v="Vikram Singh"/>
    <x v="1"/>
    <x v="7"/>
    <x v="0"/>
    <n v="4"/>
    <n v="18000"/>
    <n v="72000"/>
    <n v="50400"/>
    <n v="21600"/>
    <s v="Pune Digital"/>
    <s v="Pending"/>
  </r>
  <r>
    <n v="1017"/>
    <d v="2024-02-13T00:00:00"/>
    <s v="Priya Patel"/>
    <x v="1"/>
    <x v="5"/>
    <x v="0"/>
    <n v="12"/>
    <n v="2800"/>
    <n v="33600"/>
    <n v="20160"/>
    <n v="13440"/>
    <s v="Mumbai Startups"/>
    <s v="Paid"/>
  </r>
  <r>
    <n v="1018"/>
    <d v="2024-02-15T00:00:00"/>
    <s v="Amit Kumar"/>
    <x v="2"/>
    <x v="0"/>
    <x v="0"/>
    <n v="3"/>
    <n v="45000"/>
    <n v="135000"/>
    <n v="108000"/>
    <n v="27000"/>
    <s v="Bangalore Corp"/>
    <s v="Paid"/>
  </r>
  <r>
    <n v="1019"/>
    <d v="2024-02-18T00:00:00"/>
    <s v="Sneha Reddy"/>
    <x v="3"/>
    <x v="6"/>
    <x v="1"/>
    <n v="6"/>
    <n v="12000"/>
    <n v="72000"/>
    <n v="50400"/>
    <n v="21600"/>
    <s v="Kolkata Enterprises"/>
    <s v="Paid"/>
  </r>
  <r>
    <n v="1020"/>
    <d v="2024-02-20T00:00:00"/>
    <s v="Rahul Sharma"/>
    <x v="0"/>
    <x v="8"/>
    <x v="0"/>
    <n v="2"/>
    <n v="15000"/>
    <n v="30000"/>
    <n v="21000"/>
    <n v="9000"/>
    <s v="Gurgaon Tech"/>
    <s v="Paid"/>
  </r>
  <r>
    <n v="1021"/>
    <d v="2024-02-22T00:00:00"/>
    <s v="Vikram Singh"/>
    <x v="1"/>
    <x v="1"/>
    <x v="1"/>
    <n v="10"/>
    <n v="8500"/>
    <n v="85000"/>
    <n v="59500"/>
    <n v="25500"/>
    <s v="Ahmedabad Corp"/>
    <s v="Paid"/>
  </r>
  <r>
    <n v="1022"/>
    <d v="2024-02-25T00:00:00"/>
    <s v="Priya Patel"/>
    <x v="1"/>
    <x v="2"/>
    <x v="0"/>
    <n v="30"/>
    <n v="1200"/>
    <n v="36000"/>
    <n v="21600"/>
    <n v="14400"/>
    <s v="Mumbai Digital"/>
    <s v="Pending"/>
  </r>
  <r>
    <n v="1023"/>
    <d v="2024-02-28T00:00:00"/>
    <s v="Amit Kumar"/>
    <x v="2"/>
    <x v="7"/>
    <x v="0"/>
    <n v="5"/>
    <n v="18000"/>
    <n v="90000"/>
    <n v="63000"/>
    <n v="27000"/>
    <s v="Chennai Tech"/>
    <s v="Paid"/>
  </r>
  <r>
    <n v="1024"/>
    <d v="2024-03-02T00:00:00"/>
    <s v="Sneha Reddy"/>
    <x v="3"/>
    <x v="0"/>
    <x v="0"/>
    <n v="2"/>
    <n v="45000"/>
    <n v="90000"/>
    <n v="72000"/>
    <n v="18000"/>
    <s v="Kolkata IT"/>
    <s v="Paid"/>
  </r>
  <r>
    <n v="1025"/>
    <d v="2024-03-05T00:00:00"/>
    <s v="Rahul Sharma"/>
    <x v="0"/>
    <x v="4"/>
    <x v="0"/>
    <n v="8"/>
    <n v="3500"/>
    <n v="28000"/>
    <n v="16800"/>
    <n v="11200"/>
    <s v="Delhi Startups"/>
    <s v="Paid"/>
  </r>
  <r>
    <n v="1026"/>
    <d v="2024-03-07T00:00:00"/>
    <s v="Vikram Singh"/>
    <x v="1"/>
    <x v="3"/>
    <x v="1"/>
    <n v="4"/>
    <n v="22000"/>
    <n v="88000"/>
    <n v="61600"/>
    <n v="26400"/>
    <s v="Pune Corp"/>
    <s v="Pending"/>
  </r>
  <r>
    <n v="1027"/>
    <d v="2024-03-10T00:00:00"/>
    <s v="Priya Patel"/>
    <x v="1"/>
    <x v="5"/>
    <x v="0"/>
    <n v="15"/>
    <n v="2800"/>
    <n v="42000"/>
    <n v="25200"/>
    <n v="16800"/>
    <s v="Mumbai Systems"/>
    <s v="Paid"/>
  </r>
  <r>
    <n v="1028"/>
    <d v="2024-03-13T00:00:00"/>
    <s v="Amit Kumar"/>
    <x v="2"/>
    <x v="8"/>
    <x v="0"/>
    <n v="4"/>
    <n v="15000"/>
    <n v="60000"/>
    <n v="42000"/>
    <n v="18000"/>
    <s v="Hyderabad Corp"/>
    <s v="Paid"/>
  </r>
  <r>
    <n v="1029"/>
    <d v="2024-03-15T00:00:00"/>
    <s v="Sneha Reddy"/>
    <x v="3"/>
    <x v="1"/>
    <x v="1"/>
    <n v="7"/>
    <n v="8500"/>
    <n v="59500"/>
    <n v="41650"/>
    <n v="17850"/>
    <s v="Kolkata Offices"/>
    <s v="Paid"/>
  </r>
  <r>
    <n v="1030"/>
    <d v="2024-03-18T00:00:00"/>
    <s v="Rahul Sharma"/>
    <x v="0"/>
    <x v="7"/>
    <x v="0"/>
    <n v="3"/>
    <n v="18000"/>
    <n v="54000"/>
    <n v="37800"/>
    <n v="16200"/>
    <s v="Noida Corp"/>
    <s v="Paid"/>
  </r>
  <r>
    <n v="1031"/>
    <d v="2024-03-20T00:00:00"/>
    <s v="Vikram Singh"/>
    <x v="1"/>
    <x v="0"/>
    <x v="0"/>
    <n v="4"/>
    <n v="45000"/>
    <n v="180000"/>
    <n v="144000"/>
    <n v="36000"/>
    <s v="Ahmedabad Tech"/>
    <s v="Paid"/>
  </r>
  <r>
    <n v="1032"/>
    <d v="2024-03-22T00:00:00"/>
    <s v="Priya Patel"/>
    <x v="1"/>
    <x v="6"/>
    <x v="1"/>
    <n v="5"/>
    <n v="12000"/>
    <n v="60000"/>
    <n v="42000"/>
    <n v="18000"/>
    <s v="Mumbai Corp"/>
    <s v="Pending"/>
  </r>
  <r>
    <n v="1033"/>
    <d v="2024-03-25T00:00:00"/>
    <s v="Amit Kumar"/>
    <x v="2"/>
    <x v="2"/>
    <x v="0"/>
    <n v="18"/>
    <n v="1200"/>
    <n v="21600"/>
    <n v="12960"/>
    <n v="8640"/>
    <s v="Bangalore Digital"/>
    <s v="Paid"/>
  </r>
  <r>
    <n v="1034"/>
    <d v="2024-03-28T00:00:00"/>
    <s v="Sneha Reddy"/>
    <x v="3"/>
    <x v="4"/>
    <x v="0"/>
    <n v="12"/>
    <n v="3500"/>
    <n v="42000"/>
    <n v="25200"/>
    <n v="16800"/>
    <s v="Kolkata Tech"/>
    <s v="Paid"/>
  </r>
  <r>
    <n v="1035"/>
    <d v="2024-04-01T00:00:00"/>
    <s v="Rahul Sharma"/>
    <x v="0"/>
    <x v="3"/>
    <x v="1"/>
    <n v="3"/>
    <n v="22000"/>
    <n v="66000"/>
    <n v="46200"/>
    <n v="19800"/>
    <s v="Delhi Tech"/>
    <s v="Paid"/>
  </r>
  <r>
    <n v="1036"/>
    <d v="2024-04-04T00:00:00"/>
    <s v="Vikram Singh"/>
    <x v="1"/>
    <x v="5"/>
    <x v="0"/>
    <n v="20"/>
    <n v="2800"/>
    <n v="56000"/>
    <n v="33600"/>
    <n v="22400"/>
    <s v="Pune Startups"/>
    <s v="Paid"/>
  </r>
  <r>
    <n v="1037"/>
    <d v="2024-04-07T00:00:00"/>
    <s v="Priya Patel"/>
    <x v="1"/>
    <x v="0"/>
    <x v="0"/>
    <n v="2"/>
    <n v="45000"/>
    <n v="90000"/>
    <n v="72000"/>
    <n v="18000"/>
    <s v="Mumbai IT"/>
    <s v="Paid"/>
  </r>
  <r>
    <n v="1038"/>
    <d v="2024-04-09T00:00:00"/>
    <s v="Amit Kumar"/>
    <x v="2"/>
    <x v="8"/>
    <x v="0"/>
    <n v="5"/>
    <n v="15000"/>
    <n v="75000"/>
    <n v="52500"/>
    <n v="22500"/>
    <s v="Chennai Systems"/>
    <s v="Pending"/>
  </r>
  <r>
    <n v="1039"/>
    <d v="2024-04-12T00:00:00"/>
    <s v="Sneha Reddy"/>
    <x v="3"/>
    <x v="7"/>
    <x v="0"/>
    <n v="4"/>
    <n v="18000"/>
    <n v="72000"/>
    <n v="50400"/>
    <n v="21600"/>
    <s v="Kolkata Corp"/>
    <s v="Paid"/>
  </r>
  <r>
    <n v="1040"/>
    <d v="2024-04-15T00:00:00"/>
    <s v="Rahul Sharma"/>
    <x v="0"/>
    <x v="1"/>
    <x v="1"/>
    <n v="6"/>
    <n v="8500"/>
    <n v="51000"/>
    <n v="35700"/>
    <n v="15300"/>
    <s v="Gurgaon Corp"/>
    <s v="Paid"/>
  </r>
  <r>
    <n v="1041"/>
    <d v="2024-04-18T00:00:00"/>
    <s v="Vikram Singh"/>
    <x v="1"/>
    <x v="6"/>
    <x v="1"/>
    <n v="8"/>
    <n v="12000"/>
    <n v="96000"/>
    <n v="67200"/>
    <n v="28800"/>
    <s v="Ahmedabad Digital"/>
    <s v="Paid"/>
  </r>
  <r>
    <n v="1042"/>
    <d v="2024-04-20T00:00:00"/>
    <s v="Priya Patel"/>
    <x v="1"/>
    <x v="4"/>
    <x v="0"/>
    <n v="18"/>
    <n v="3500"/>
    <n v="63000"/>
    <n v="37800"/>
    <n v="25200"/>
    <s v="Mumbai Enterprises"/>
    <s v="Paid"/>
  </r>
  <r>
    <n v="1043"/>
    <d v="2024-04-23T00:00:00"/>
    <s v="Amit Kumar"/>
    <x v="2"/>
    <x v="0"/>
    <x v="0"/>
    <n v="1"/>
    <n v="45000"/>
    <n v="45000"/>
    <n v="36000"/>
    <n v="9000"/>
    <s v="Hyderabad IT"/>
    <s v="Pending"/>
  </r>
  <r>
    <n v="1044"/>
    <d v="2024-04-26T00:00:00"/>
    <s v="Sneha Reddy"/>
    <x v="3"/>
    <x v="2"/>
    <x v="0"/>
    <n v="22"/>
    <n v="1200"/>
    <n v="26400"/>
    <n v="15840"/>
    <n v="10560"/>
    <s v="Kolkata Systems"/>
    <s v="Paid"/>
  </r>
  <r>
    <n v="1045"/>
    <d v="2024-04-29T00:00:00"/>
    <s v="Rahul Sharma"/>
    <x v="0"/>
    <x v="5"/>
    <x v="0"/>
    <n v="10"/>
    <n v="2800"/>
    <n v="28000"/>
    <n v="16800"/>
    <n v="11200"/>
    <s v="Delhi Digital"/>
    <s v="Paid"/>
  </r>
  <r>
    <n v="1046"/>
    <d v="2024-05-02T00:00:00"/>
    <s v="Vikram Singh"/>
    <x v="1"/>
    <x v="3"/>
    <x v="1"/>
    <n v="5"/>
    <n v="22000"/>
    <n v="110000"/>
    <n v="77000"/>
    <n v="33000"/>
    <s v="Pune Tech"/>
    <s v="Paid"/>
  </r>
  <r>
    <n v="1047"/>
    <d v="2024-05-05T00:00:00"/>
    <s v="Priya Patel"/>
    <x v="1"/>
    <x v="7"/>
    <x v="0"/>
    <n v="6"/>
    <n v="18000"/>
    <n v="108000"/>
    <n v="75600"/>
    <n v="32400"/>
    <s v="Mumbai Corp"/>
    <s v="Paid"/>
  </r>
  <r>
    <n v="1048"/>
    <d v="2024-05-08T00:00:00"/>
    <s v="Amit Kumar"/>
    <x v="2"/>
    <x v="1"/>
    <x v="1"/>
    <n v="9"/>
    <n v="8500"/>
    <n v="76500"/>
    <n v="53550"/>
    <n v="22950"/>
    <s v="Bangalore Corp"/>
    <s v="Pending"/>
  </r>
  <r>
    <n v="1049"/>
    <d v="2024-05-11T00:00:00"/>
    <s v="Sneha Reddy"/>
    <x v="3"/>
    <x v="8"/>
    <x v="0"/>
    <n v="3"/>
    <n v="15000"/>
    <n v="45000"/>
    <n v="31500"/>
    <n v="13500"/>
    <s v="Kolkata Digital"/>
    <s v="Paid"/>
  </r>
  <r>
    <n v="1050"/>
    <d v="2024-05-14T00:00:00"/>
    <s v="Rahul Sharma"/>
    <x v="0"/>
    <x v="0"/>
    <x v="0"/>
    <n v="3"/>
    <n v="45000"/>
    <n v="135000"/>
    <n v="108000"/>
    <n v="27000"/>
    <s v="Noida IT"/>
    <s v="Pai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F7CDD8-3625-454B-B1D4-885BF601C84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0" firstHeaderRow="1" firstDataRow="1" firstDataCol="1"/>
  <pivotFields count="15">
    <pivotField showAll="0"/>
    <pivotField axis="axisRow"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showAll="0"/>
    <pivotField showAll="0"/>
    <pivotField showAll="0">
      <items count="11">
        <item x="5"/>
        <item x="6"/>
        <item x="0"/>
        <item x="7"/>
        <item x="1"/>
        <item x="8"/>
        <item x="3"/>
        <item x="4"/>
        <item x="2"/>
        <item x="9"/>
        <item t="default"/>
      </items>
    </pivotField>
    <pivotField showAll="0">
      <items count="4">
        <item x="0"/>
        <item x="1"/>
        <item x="2"/>
        <item t="default"/>
      </items>
    </pivotField>
    <pivotField showAll="0"/>
    <pivotField showAll="0"/>
    <pivotField dataField="1"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2">
    <field x="14"/>
    <field x="1"/>
  </rowFields>
  <rowItems count="7">
    <i>
      <x/>
    </i>
    <i>
      <x v="1"/>
    </i>
    <i>
      <x v="2"/>
    </i>
    <i>
      <x v="3"/>
    </i>
    <i>
      <x v="4"/>
    </i>
    <i>
      <x v="5"/>
    </i>
    <i t="grand">
      <x/>
    </i>
  </rowItems>
  <colItems count="1">
    <i/>
  </colItems>
  <dataFields count="1">
    <dataField name="Sum of Total Sales" fld="8" baseField="0" baseItem="0"/>
  </dataFields>
  <chartFormats count="1">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FECBB8-A991-4AE4-B183-CFBD664AAA1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5">
    <pivotField showAll="0"/>
    <pivotField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axis="axisRow" showAll="0">
      <items count="7">
        <item x="2"/>
        <item x="1"/>
        <item x="0"/>
        <item x="3"/>
        <item x="4"/>
        <item h="1" x="5"/>
        <item t="default"/>
      </items>
    </pivotField>
    <pivotField showAll="0"/>
    <pivotField showAll="0">
      <items count="11">
        <item x="5"/>
        <item x="6"/>
        <item x="0"/>
        <item x="7"/>
        <item x="1"/>
        <item x="8"/>
        <item x="3"/>
        <item x="4"/>
        <item x="2"/>
        <item x="9"/>
        <item t="default"/>
      </items>
    </pivotField>
    <pivotField showAll="0">
      <items count="4">
        <item x="0"/>
        <item x="1"/>
        <item x="2"/>
        <item t="default"/>
      </items>
    </pivotField>
    <pivotField showAll="0"/>
    <pivotField showAll="0"/>
    <pivotField dataField="1"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6">
    <i>
      <x/>
    </i>
    <i>
      <x v="1"/>
    </i>
    <i>
      <x v="2"/>
    </i>
    <i>
      <x v="3"/>
    </i>
    <i>
      <x v="4"/>
    </i>
    <i t="grand">
      <x/>
    </i>
  </rowItems>
  <colItems count="1">
    <i/>
  </colItems>
  <dataFields count="1">
    <dataField name="Sum of Total Sales" fld="8" baseField="0" baseItem="0"/>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34D76A-C50A-4080-9914-990BB1D445A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5">
    <pivotField showAll="0"/>
    <pivotField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showAll="0"/>
    <pivotField axis="axisRow" showAll="0">
      <items count="6">
        <item x="3"/>
        <item x="0"/>
        <item x="2"/>
        <item x="1"/>
        <item h="1" x="4"/>
        <item t="default"/>
      </items>
    </pivotField>
    <pivotField showAll="0">
      <items count="11">
        <item x="5"/>
        <item x="6"/>
        <item x="0"/>
        <item x="7"/>
        <item x="1"/>
        <item x="8"/>
        <item x="3"/>
        <item x="4"/>
        <item x="2"/>
        <item x="9"/>
        <item t="default"/>
      </items>
    </pivotField>
    <pivotField showAll="0">
      <items count="4">
        <item x="0"/>
        <item x="1"/>
        <item x="2"/>
        <item t="default"/>
      </items>
    </pivotField>
    <pivotField showAll="0"/>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5">
    <i>
      <x/>
    </i>
    <i>
      <x v="1"/>
    </i>
    <i>
      <x v="2"/>
    </i>
    <i>
      <x v="3"/>
    </i>
    <i t="grand">
      <x/>
    </i>
  </rowItems>
  <colItems count="1">
    <i/>
  </colItems>
  <dataFields count="1">
    <dataField name="Sum of Profit" fld="10"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 chart="3" format="9">
      <pivotArea type="data" outline="0" fieldPosition="0">
        <references count="2">
          <reference field="4294967294" count="1" selected="0">
            <x v="0"/>
          </reference>
          <reference field="3" count="1" selected="0">
            <x v="2"/>
          </reference>
        </references>
      </pivotArea>
    </chartFormat>
    <chartFormat chart="3"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7F963D-6B00-4333-A09C-F2270EAB23C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15">
    <pivotField showAll="0"/>
    <pivotField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showAll="0"/>
    <pivotField showAll="0"/>
    <pivotField axis="axisRow" showAll="0">
      <items count="11">
        <item x="5"/>
        <item x="6"/>
        <item x="0"/>
        <item x="7"/>
        <item x="1"/>
        <item x="8"/>
        <item x="3"/>
        <item x="4"/>
        <item x="2"/>
        <item x="9"/>
        <item t="default"/>
      </items>
    </pivotField>
    <pivotField showAll="0">
      <items count="4">
        <item x="0"/>
        <item x="1"/>
        <item x="2"/>
        <item t="default"/>
      </items>
    </pivotField>
    <pivotField dataField="1"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11">
    <i>
      <x/>
    </i>
    <i>
      <x v="1"/>
    </i>
    <i>
      <x v="2"/>
    </i>
    <i>
      <x v="3"/>
    </i>
    <i>
      <x v="4"/>
    </i>
    <i>
      <x v="5"/>
    </i>
    <i>
      <x v="6"/>
    </i>
    <i>
      <x v="7"/>
    </i>
    <i>
      <x v="8"/>
    </i>
    <i>
      <x v="9"/>
    </i>
    <i t="grand">
      <x/>
    </i>
  </rowItems>
  <colItems count="1">
    <i/>
  </colItems>
  <dataFields count="1">
    <dataField name="Sum of Units Sold" fld="6"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224F78-04AD-44DB-89D2-C75A8A92C88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5">
    <pivotField showAll="0"/>
    <pivotField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showAll="0"/>
    <pivotField axis="axisRow" showAll="0">
      <items count="6">
        <item x="3"/>
        <item x="0"/>
        <item x="2"/>
        <item x="1"/>
        <item h="1" x="4"/>
        <item t="default"/>
      </items>
    </pivotField>
    <pivotField showAll="0">
      <items count="11">
        <item x="5"/>
        <item x="6"/>
        <item x="0"/>
        <item x="7"/>
        <item x="1"/>
        <item x="8"/>
        <item x="3"/>
        <item x="4"/>
        <item x="2"/>
        <item x="9"/>
        <item t="default"/>
      </items>
    </pivotField>
    <pivotField showAll="0">
      <items count="4">
        <item x="0"/>
        <item x="1"/>
        <item x="2"/>
        <item t="default"/>
      </items>
    </pivotField>
    <pivotField showAll="0"/>
    <pivotField dataField="1" showAll="0"/>
    <pivotField showAll="0"/>
    <pivotField showAll="0"/>
    <pivotField showAll="0"/>
    <pivotField showAll="0"/>
    <pivotField showAll="0">
      <items count="4">
        <item x="0"/>
        <item x="1"/>
        <item x="2"/>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5">
    <i>
      <x/>
    </i>
    <i>
      <x v="1"/>
    </i>
    <i>
      <x v="2"/>
    </i>
    <i>
      <x v="3"/>
    </i>
    <i t="grand">
      <x/>
    </i>
  </rowItems>
  <colItems count="1">
    <i/>
  </colItems>
  <dataFields count="1">
    <dataField name="Average of Unit Price" fld="7" subtotal="average" baseField="3" baseItem="0"/>
  </dataFields>
  <chartFormats count="1">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AC6B17-8364-4029-B324-D3EDDB4BA439}"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4:O15" firstHeaderRow="1" firstDataRow="1" firstDataCol="0"/>
  <pivotFields count="13">
    <pivotField showAll="0"/>
    <pivotField numFmtId="14" showAll="0"/>
    <pivotField showAll="0"/>
    <pivotField showAll="0">
      <items count="5">
        <item x="3"/>
        <item x="0"/>
        <item x="2"/>
        <item x="1"/>
        <item t="default"/>
      </items>
    </pivotField>
    <pivotField showAll="0">
      <items count="10">
        <item x="5"/>
        <item x="6"/>
        <item x="0"/>
        <item x="7"/>
        <item x="1"/>
        <item x="8"/>
        <item x="3"/>
        <item x="4"/>
        <item x="2"/>
        <item t="default"/>
      </items>
    </pivotField>
    <pivotField showAll="0">
      <items count="3">
        <item x="0"/>
        <item x="1"/>
        <item t="default"/>
      </items>
    </pivotField>
    <pivotField showAll="0"/>
    <pivotField showAll="0"/>
    <pivotField showAll="0"/>
    <pivotField showAll="0"/>
    <pivotField dataField="1" showAll="0"/>
    <pivotField showAll="0"/>
    <pivotField showAll="0"/>
  </pivotFields>
  <rowItems count="1">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D77F02-6C2D-45CB-BBE5-FD3594CDA85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8:O9" firstHeaderRow="1" firstDataRow="1" firstDataCol="0"/>
  <pivotFields count="13">
    <pivotField showAll="0"/>
    <pivotField numFmtId="14" showAll="0"/>
    <pivotField showAll="0"/>
    <pivotField showAll="0">
      <items count="5">
        <item x="3"/>
        <item x="0"/>
        <item x="2"/>
        <item x="1"/>
        <item t="default"/>
      </items>
    </pivotField>
    <pivotField showAll="0">
      <items count="10">
        <item x="5"/>
        <item x="6"/>
        <item x="0"/>
        <item x="7"/>
        <item x="1"/>
        <item x="8"/>
        <item x="3"/>
        <item x="4"/>
        <item x="2"/>
        <item t="default"/>
      </items>
    </pivotField>
    <pivotField showAll="0">
      <items count="3">
        <item x="0"/>
        <item x="1"/>
        <item t="default"/>
      </items>
    </pivotField>
    <pivotField showAll="0"/>
    <pivotField dataField="1" showAll="0"/>
    <pivotField showAll="0"/>
    <pivotField showAll="0"/>
    <pivotField showAll="0"/>
    <pivotField showAll="0"/>
    <pivotField showAll="0"/>
  </pivotFields>
  <rowItems count="1">
    <i/>
  </rowItems>
  <colItems count="1">
    <i/>
  </colItems>
  <dataFields count="1">
    <dataField name="Average of Unit Price"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9B9C4F-D438-4F4B-A56C-C2DFE9F25F3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1:O12" firstHeaderRow="1" firstDataRow="1" firstDataCol="0"/>
  <pivotFields count="13">
    <pivotField showAll="0"/>
    <pivotField numFmtId="14" showAll="0"/>
    <pivotField showAll="0"/>
    <pivotField showAll="0">
      <items count="5">
        <item x="3"/>
        <item x="0"/>
        <item x="2"/>
        <item x="1"/>
        <item t="default"/>
      </items>
    </pivotField>
    <pivotField showAll="0">
      <items count="10">
        <item x="5"/>
        <item x="6"/>
        <item x="0"/>
        <item x="7"/>
        <item x="1"/>
        <item x="8"/>
        <item x="3"/>
        <item x="4"/>
        <item x="2"/>
        <item t="default"/>
      </items>
    </pivotField>
    <pivotField showAll="0">
      <items count="3">
        <item x="0"/>
        <item x="1"/>
        <item t="default"/>
      </items>
    </pivotField>
    <pivotField showAll="0"/>
    <pivotField showAll="0"/>
    <pivotField showAll="0"/>
    <pivotField dataField="1" showAll="0"/>
    <pivotField showAll="0"/>
    <pivotField showAll="0"/>
    <pivotField showAll="0"/>
  </pivotFields>
  <rowItems count="1">
    <i/>
  </rowItems>
  <colItems count="1">
    <i/>
  </colItems>
  <dataFields count="1">
    <dataField name="Average of Cost"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D3A2DD3-FC08-4ADE-AB69-2B8227DB0948}" name="PivotTable7"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T9:T10" firstHeaderRow="1" firstDataRow="1" firstDataCol="0"/>
  <pivotFields count="1">
    <pivotField dataField="1" subtotalTop="0" showAll="0" defaultSubtotal="0"/>
  </pivotFields>
  <rowItems count="1">
    <i/>
  </rowItems>
  <colItems count="1">
    <i/>
  </colItems>
  <dataFields count="1">
    <dataField name="Sum of Cost" fld="0" baseField="0" baseItem="0"/>
  </dataField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A$1:$M$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0DC7E0A-99F1-4755-B8D8-81091F64ED1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5:O6" firstHeaderRow="1" firstDataRow="1" firstDataCol="0"/>
  <pivotFields count="13">
    <pivotField showAll="0"/>
    <pivotField numFmtId="14" showAll="0"/>
    <pivotField showAll="0"/>
    <pivotField showAll="0">
      <items count="5">
        <item x="3"/>
        <item x="0"/>
        <item x="2"/>
        <item x="1"/>
        <item t="default"/>
      </items>
    </pivotField>
    <pivotField showAll="0">
      <items count="10">
        <item x="5"/>
        <item x="6"/>
        <item x="0"/>
        <item x="7"/>
        <item x="1"/>
        <item x="8"/>
        <item x="3"/>
        <item x="4"/>
        <item x="2"/>
        <item t="default"/>
      </items>
    </pivotField>
    <pivotField showAll="0">
      <items count="3">
        <item x="0"/>
        <item x="1"/>
        <item t="default"/>
      </items>
    </pivotField>
    <pivotField showAll="0"/>
    <pivotField showAll="0"/>
    <pivotField dataField="1" showAll="0"/>
    <pivotField showAll="0"/>
    <pivotField showAll="0"/>
    <pivotField showAll="0"/>
    <pivotField showAll="0"/>
  </pivotFields>
  <rowItems count="1">
    <i/>
  </rowItems>
  <colItems count="1">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665777B-2FA8-4C07-B029-893866701AFA}" name="PivotTable6"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S9:S10" firstHeaderRow="1" firstDataRow="1" firstDataCol="0"/>
  <pivotFields count="1">
    <pivotField dataField="1" subtotalTop="0" showAll="0" defaultSubtotal="0"/>
  </pivotFields>
  <rowItems count="1">
    <i/>
  </rowItems>
  <colItems count="1">
    <i/>
  </colItems>
  <dataFields count="1">
    <dataField name="Sum of Total Sales" fld="0" baseField="0" baseItem="0"/>
  </dataField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A$1:$M$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6F5CB14-2EBC-48A6-9A49-B21949A20509}" name="PivotTable1"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R9:R10" firstHeaderRow="1" firstDataRow="1" firstDataCol="0"/>
  <pivotFields count="1">
    <pivotField dataField="1" subtotalTop="0" showAll="0" defaultSubtotal="0"/>
  </pivotFields>
  <rowItems count="1">
    <i/>
  </rowItems>
  <colItems count="1">
    <i/>
  </colItems>
  <dataFields count="1">
    <dataField name="Average of Unit Price" fld="0" subtotal="average" baseField="0" baseItem="0"/>
  </dataField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Unit Pric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A$1:$M$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E61736E-7190-408A-9F42-30585D8211F3}" sourceName="Category">
  <pivotTables>
    <pivotTable tabId="7" name="PivotTable5"/>
    <pivotTable tabId="2" name="PivotTable1"/>
    <pivotTable tabId="3" name="PivotTable2"/>
    <pivotTable tabId="4" name="PivotTable3"/>
    <pivotTable tabId="5" name="PivotTable4"/>
  </pivotTables>
  <data>
    <tabular pivotCacheId="448989524">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D0AD8B6-1F3F-4821-BC7B-E720E6258A0D}" sourceName="Product">
  <pivotTables>
    <pivotTable tabId="5" name="PivotTable4"/>
    <pivotTable tabId="2" name="PivotTable1"/>
    <pivotTable tabId="7" name="PivotTable5"/>
    <pivotTable tabId="4" name="PivotTable3"/>
    <pivotTable tabId="3" name="PivotTable2"/>
  </pivotTables>
  <data>
    <tabular pivotCacheId="448989524">
      <items count="10">
        <i x="5" s="1"/>
        <i x="6" s="1"/>
        <i x="0" s="1"/>
        <i x="7" s="1"/>
        <i x="1" s="1"/>
        <i x="8" s="1"/>
        <i x="3" s="1"/>
        <i x="4"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3580CF0-1C9C-4701-8FA5-DA318CEDFF22}" cache="Slicer_Category" caption="Category" rowHeight="241300"/>
  <slicer name="Product" xr10:uid="{B0A371A7-786E-4F80-B60C-BDB1AC5D16EF}" cache="Slicer_Product" caption="Produc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D6EB8-CF36-4824-B2FF-3B91741C5FCE}">
  <dimension ref="A3:B10"/>
  <sheetViews>
    <sheetView workbookViewId="0">
      <selection activeCell="U13" sqref="U13"/>
    </sheetView>
  </sheetViews>
  <sheetFormatPr defaultRowHeight="14.5" x14ac:dyDescent="0.35"/>
  <cols>
    <col min="1" max="1" width="12.90625" bestFit="1" customWidth="1"/>
    <col min="2" max="2" width="16.08984375" bestFit="1" customWidth="1"/>
  </cols>
  <sheetData>
    <row r="3" spans="1:2" x14ac:dyDescent="0.35">
      <c r="A3" s="2" t="s">
        <v>78</v>
      </c>
      <c r="B3" t="s">
        <v>85</v>
      </c>
    </row>
    <row r="4" spans="1:2" x14ac:dyDescent="0.35">
      <c r="A4" s="3" t="s">
        <v>92</v>
      </c>
    </row>
    <row r="5" spans="1:2" x14ac:dyDescent="0.35">
      <c r="A5" s="3" t="s">
        <v>80</v>
      </c>
      <c r="B5">
        <v>639000</v>
      </c>
    </row>
    <row r="6" spans="1:2" x14ac:dyDescent="0.35">
      <c r="A6" s="3" t="s">
        <v>81</v>
      </c>
      <c r="B6">
        <v>730600</v>
      </c>
    </row>
    <row r="7" spans="1:2" x14ac:dyDescent="0.35">
      <c r="A7" s="3" t="s">
        <v>82</v>
      </c>
      <c r="B7">
        <v>725100</v>
      </c>
    </row>
    <row r="8" spans="1:2" x14ac:dyDescent="0.35">
      <c r="A8" s="3" t="s">
        <v>83</v>
      </c>
      <c r="B8">
        <v>668400</v>
      </c>
    </row>
    <row r="9" spans="1:2" x14ac:dyDescent="0.35">
      <c r="A9" s="3" t="s">
        <v>84</v>
      </c>
      <c r="B9">
        <v>474500</v>
      </c>
    </row>
    <row r="10" spans="1:2" x14ac:dyDescent="0.35">
      <c r="A10" s="3" t="s">
        <v>79</v>
      </c>
      <c r="B10">
        <v>3237600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A4E4E-0783-4AF8-93C4-751948FD8919}">
  <dimension ref="A3:B9"/>
  <sheetViews>
    <sheetView workbookViewId="0">
      <selection sqref="A1:A3"/>
    </sheetView>
  </sheetViews>
  <sheetFormatPr defaultRowHeight="14.5" x14ac:dyDescent="0.35"/>
  <cols>
    <col min="1" max="1" width="12.36328125" bestFit="1" customWidth="1"/>
    <col min="2" max="2" width="16.08984375" bestFit="1" customWidth="1"/>
  </cols>
  <sheetData>
    <row r="3" spans="1:2" x14ac:dyDescent="0.35">
      <c r="A3" s="2" t="s">
        <v>78</v>
      </c>
      <c r="B3" t="s">
        <v>85</v>
      </c>
    </row>
    <row r="4" spans="1:2" x14ac:dyDescent="0.35">
      <c r="A4" s="3" t="s">
        <v>24</v>
      </c>
      <c r="B4">
        <v>605100</v>
      </c>
    </row>
    <row r="5" spans="1:2" x14ac:dyDescent="0.35">
      <c r="A5" s="3" t="s">
        <v>19</v>
      </c>
      <c r="B5">
        <v>571100</v>
      </c>
    </row>
    <row r="6" spans="1:2" x14ac:dyDescent="0.35">
      <c r="A6" s="3" t="s">
        <v>13</v>
      </c>
      <c r="B6">
        <v>616000</v>
      </c>
    </row>
    <row r="7" spans="1:2" x14ac:dyDescent="0.35">
      <c r="A7" s="3" t="s">
        <v>29</v>
      </c>
      <c r="B7">
        <v>615900</v>
      </c>
    </row>
    <row r="8" spans="1:2" x14ac:dyDescent="0.35">
      <c r="A8" s="3" t="s">
        <v>34</v>
      </c>
      <c r="B8">
        <v>829500</v>
      </c>
    </row>
    <row r="9" spans="1:2" x14ac:dyDescent="0.35">
      <c r="A9" s="3" t="s">
        <v>79</v>
      </c>
      <c r="B9">
        <v>3237600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36554-AFDB-46B9-AB23-6CD17FCF8B96}">
  <dimension ref="A3:B8"/>
  <sheetViews>
    <sheetView topLeftCell="B1" workbookViewId="0">
      <selection activeCell="K9" sqref="K9"/>
    </sheetView>
  </sheetViews>
  <sheetFormatPr defaultRowHeight="14.5" x14ac:dyDescent="0.35"/>
  <cols>
    <col min="1" max="1" width="12.36328125" bestFit="1" customWidth="1"/>
    <col min="2" max="3" width="11.81640625" bestFit="1" customWidth="1"/>
  </cols>
  <sheetData>
    <row r="3" spans="1:2" x14ac:dyDescent="0.35">
      <c r="A3" s="2" t="s">
        <v>78</v>
      </c>
      <c r="B3" t="s">
        <v>86</v>
      </c>
    </row>
    <row r="4" spans="1:2" x14ac:dyDescent="0.35">
      <c r="A4" s="3" t="s">
        <v>30</v>
      </c>
      <c r="B4">
        <v>186110</v>
      </c>
    </row>
    <row r="5" spans="1:2" x14ac:dyDescent="0.35">
      <c r="A5" s="3" t="s">
        <v>14</v>
      </c>
      <c r="B5">
        <v>163400</v>
      </c>
    </row>
    <row r="6" spans="1:2" x14ac:dyDescent="0.35">
      <c r="A6" s="3" t="s">
        <v>25</v>
      </c>
      <c r="B6">
        <v>171090</v>
      </c>
    </row>
    <row r="7" spans="1:2" x14ac:dyDescent="0.35">
      <c r="A7" s="3" t="s">
        <v>20</v>
      </c>
      <c r="B7">
        <v>415290</v>
      </c>
    </row>
    <row r="8" spans="1:2" x14ac:dyDescent="0.35">
      <c r="A8" s="3" t="s">
        <v>79</v>
      </c>
      <c r="B8">
        <v>935890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DD6AB-2C04-4DE2-B690-9CC46804B8F1}">
  <dimension ref="A3:B14"/>
  <sheetViews>
    <sheetView workbookViewId="0">
      <selection activeCell="L4" sqref="L4"/>
    </sheetView>
  </sheetViews>
  <sheetFormatPr defaultRowHeight="14.5" x14ac:dyDescent="0.35"/>
  <cols>
    <col min="1" max="1" width="18.1796875" bestFit="1" customWidth="1"/>
    <col min="2" max="2" width="15.54296875" bestFit="1" customWidth="1"/>
  </cols>
  <sheetData>
    <row r="3" spans="1:2" x14ac:dyDescent="0.35">
      <c r="A3" s="2" t="s">
        <v>78</v>
      </c>
      <c r="B3" t="s">
        <v>87</v>
      </c>
    </row>
    <row r="4" spans="1:2" x14ac:dyDescent="0.35">
      <c r="A4" s="3" t="s">
        <v>37</v>
      </c>
      <c r="B4">
        <v>67</v>
      </c>
    </row>
    <row r="5" spans="1:2" x14ac:dyDescent="0.35">
      <c r="A5" s="3" t="s">
        <v>39</v>
      </c>
      <c r="B5">
        <v>23</v>
      </c>
    </row>
    <row r="6" spans="1:2" x14ac:dyDescent="0.35">
      <c r="A6" s="3" t="s">
        <v>15</v>
      </c>
      <c r="B6">
        <v>20</v>
      </c>
    </row>
    <row r="7" spans="1:2" x14ac:dyDescent="0.35">
      <c r="A7" s="3" t="s">
        <v>41</v>
      </c>
      <c r="B7">
        <v>28</v>
      </c>
    </row>
    <row r="8" spans="1:2" x14ac:dyDescent="0.35">
      <c r="A8" s="3" t="s">
        <v>21</v>
      </c>
      <c r="B8">
        <v>45</v>
      </c>
    </row>
    <row r="9" spans="1:2" x14ac:dyDescent="0.35">
      <c r="A9" s="3" t="s">
        <v>43</v>
      </c>
      <c r="B9">
        <v>17</v>
      </c>
    </row>
    <row r="10" spans="1:2" x14ac:dyDescent="0.35">
      <c r="A10" s="3" t="s">
        <v>31</v>
      </c>
      <c r="B10">
        <v>17</v>
      </c>
    </row>
    <row r="11" spans="1:2" x14ac:dyDescent="0.35">
      <c r="A11" s="3" t="s">
        <v>35</v>
      </c>
      <c r="B11">
        <v>63</v>
      </c>
    </row>
    <row r="12" spans="1:2" x14ac:dyDescent="0.35">
      <c r="A12" s="3" t="s">
        <v>26</v>
      </c>
      <c r="B12">
        <v>115</v>
      </c>
    </row>
    <row r="13" spans="1:2" x14ac:dyDescent="0.35">
      <c r="A13" s="3" t="s">
        <v>91</v>
      </c>
    </row>
    <row r="14" spans="1:2" x14ac:dyDescent="0.35">
      <c r="A14" s="3" t="s">
        <v>79</v>
      </c>
      <c r="B14">
        <v>395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1D918-CA76-4FC6-9E94-D0308B063712}">
  <dimension ref="A1"/>
  <sheetViews>
    <sheetView showGridLines="0" tabSelected="1" zoomScale="92" zoomScaleNormal="100" workbookViewId="0">
      <selection activeCell="I24" sqref="I24"/>
    </sheetView>
  </sheetViews>
  <sheetFormatPr defaultRowHeight="14.5" x14ac:dyDescent="0.35"/>
  <cols>
    <col min="1" max="16384" width="8.7265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F20A1-A3D8-446D-A2DC-3FAEFF377161}">
  <dimension ref="A3:B8"/>
  <sheetViews>
    <sheetView workbookViewId="0">
      <selection activeCell="B4" sqref="B4"/>
    </sheetView>
  </sheetViews>
  <sheetFormatPr defaultRowHeight="14.5" x14ac:dyDescent="0.35"/>
  <cols>
    <col min="1" max="1" width="12.36328125" bestFit="1" customWidth="1"/>
    <col min="2" max="2" width="18.453125" bestFit="1" customWidth="1"/>
    <col min="3" max="3" width="15.26953125" bestFit="1" customWidth="1"/>
  </cols>
  <sheetData>
    <row r="3" spans="1:2" x14ac:dyDescent="0.35">
      <c r="A3" s="2" t="s">
        <v>78</v>
      </c>
      <c r="B3" t="s">
        <v>88</v>
      </c>
    </row>
    <row r="4" spans="1:2" x14ac:dyDescent="0.35">
      <c r="A4" s="3" t="s">
        <v>30</v>
      </c>
      <c r="B4">
        <v>14670</v>
      </c>
    </row>
    <row r="5" spans="1:2" x14ac:dyDescent="0.35">
      <c r="A5" s="3" t="s">
        <v>14</v>
      </c>
      <c r="B5">
        <v>21981.81818181818</v>
      </c>
    </row>
    <row r="6" spans="1:2" x14ac:dyDescent="0.35">
      <c r="A6" s="3" t="s">
        <v>25</v>
      </c>
      <c r="B6">
        <v>16210</v>
      </c>
    </row>
    <row r="7" spans="1:2" x14ac:dyDescent="0.35">
      <c r="A7" s="3" t="s">
        <v>20</v>
      </c>
      <c r="B7">
        <v>14942.105263157895</v>
      </c>
    </row>
    <row r="8" spans="1:2" x14ac:dyDescent="0.35">
      <c r="A8" s="3" t="s">
        <v>79</v>
      </c>
      <c r="B8">
        <v>16690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9A7B4-208C-43E8-A124-4A12AD30C89A}">
  <dimension ref="A1:T51"/>
  <sheetViews>
    <sheetView topLeftCell="G1" workbookViewId="0">
      <selection activeCell="N2" sqref="N2"/>
    </sheetView>
  </sheetViews>
  <sheetFormatPr defaultRowHeight="14.5" x14ac:dyDescent="0.35"/>
  <cols>
    <col min="1" max="1" width="8" bestFit="1" customWidth="1"/>
    <col min="2" max="2" width="10.08984375" bestFit="1" customWidth="1"/>
    <col min="3" max="3" width="12.36328125" bestFit="1" customWidth="1"/>
    <col min="4" max="4" width="6.453125" bestFit="1" customWidth="1"/>
    <col min="5" max="5" width="18.1796875" bestFit="1" customWidth="1"/>
    <col min="6" max="6" width="9.7265625" bestFit="1" customWidth="1"/>
    <col min="7" max="7" width="9.08984375" bestFit="1" customWidth="1"/>
    <col min="9" max="9" width="9.6328125" bestFit="1" customWidth="1"/>
    <col min="10" max="10" width="6.81640625" bestFit="1" customWidth="1"/>
    <col min="11" max="11" width="5.81640625" bestFit="1" customWidth="1"/>
    <col min="12" max="12" width="19" bestFit="1" customWidth="1"/>
    <col min="13" max="13" width="13.7265625" bestFit="1" customWidth="1"/>
    <col min="14" max="14" width="13.7265625" customWidth="1"/>
    <col min="15" max="16" width="11.81640625" bestFit="1" customWidth="1"/>
    <col min="18" max="18" width="18.453125" bestFit="1" customWidth="1"/>
    <col min="19" max="19" width="16.08984375" bestFit="1" customWidth="1"/>
    <col min="20" max="20" width="10.81640625" bestFit="1" customWidth="1"/>
  </cols>
  <sheetData>
    <row r="1" spans="1:20" x14ac:dyDescent="0.35">
      <c r="A1" t="s">
        <v>0</v>
      </c>
      <c r="B1" t="s">
        <v>1</v>
      </c>
      <c r="C1" t="s">
        <v>2</v>
      </c>
      <c r="D1" t="s">
        <v>3</v>
      </c>
      <c r="E1" t="s">
        <v>4</v>
      </c>
      <c r="F1" t="s">
        <v>5</v>
      </c>
      <c r="G1" t="s">
        <v>6</v>
      </c>
      <c r="H1" t="s">
        <v>7</v>
      </c>
      <c r="I1" t="s">
        <v>8</v>
      </c>
      <c r="J1" t="s">
        <v>9</v>
      </c>
      <c r="K1" t="s">
        <v>10</v>
      </c>
      <c r="L1" t="s">
        <v>11</v>
      </c>
      <c r="M1" t="s">
        <v>12</v>
      </c>
    </row>
    <row r="2" spans="1:20" x14ac:dyDescent="0.35">
      <c r="A2">
        <v>1001</v>
      </c>
      <c r="B2" s="1">
        <v>45294</v>
      </c>
      <c r="C2" t="s">
        <v>13</v>
      </c>
      <c r="D2" t="s">
        <v>14</v>
      </c>
      <c r="E2" t="s">
        <v>15</v>
      </c>
      <c r="F2" t="s">
        <v>16</v>
      </c>
      <c r="G2">
        <v>2</v>
      </c>
      <c r="H2">
        <v>45000</v>
      </c>
      <c r="I2">
        <v>90000</v>
      </c>
      <c r="J2">
        <v>72000</v>
      </c>
      <c r="K2">
        <v>18000</v>
      </c>
      <c r="L2" t="s">
        <v>17</v>
      </c>
      <c r="M2" t="s">
        <v>18</v>
      </c>
    </row>
    <row r="3" spans="1:20" x14ac:dyDescent="0.35">
      <c r="A3">
        <v>1002</v>
      </c>
      <c r="B3" s="1">
        <v>45296</v>
      </c>
      <c r="C3" t="s">
        <v>19</v>
      </c>
      <c r="D3" t="s">
        <v>20</v>
      </c>
      <c r="E3" t="s">
        <v>21</v>
      </c>
      <c r="F3" t="s">
        <v>22</v>
      </c>
      <c r="G3">
        <v>5</v>
      </c>
      <c r="H3">
        <v>8500</v>
      </c>
      <c r="I3">
        <v>42500</v>
      </c>
      <c r="J3">
        <v>29750</v>
      </c>
      <c r="K3">
        <v>12750</v>
      </c>
      <c r="L3" t="s">
        <v>23</v>
      </c>
      <c r="M3" t="s">
        <v>18</v>
      </c>
    </row>
    <row r="4" spans="1:20" x14ac:dyDescent="0.35">
      <c r="A4">
        <v>1003</v>
      </c>
      <c r="B4" s="1">
        <v>45298</v>
      </c>
      <c r="C4" t="s">
        <v>24</v>
      </c>
      <c r="D4" t="s">
        <v>25</v>
      </c>
      <c r="E4" t="s">
        <v>26</v>
      </c>
      <c r="F4" t="s">
        <v>16</v>
      </c>
      <c r="G4">
        <v>20</v>
      </c>
      <c r="H4">
        <v>1200</v>
      </c>
      <c r="I4">
        <v>24000</v>
      </c>
      <c r="J4">
        <v>14400</v>
      </c>
      <c r="K4">
        <v>9600</v>
      </c>
      <c r="L4" t="s">
        <v>27</v>
      </c>
      <c r="M4" t="s">
        <v>28</v>
      </c>
    </row>
    <row r="5" spans="1:20" x14ac:dyDescent="0.35">
      <c r="A5">
        <v>1004</v>
      </c>
      <c r="B5" s="1">
        <v>45300</v>
      </c>
      <c r="C5" t="s">
        <v>29</v>
      </c>
      <c r="D5" t="s">
        <v>30</v>
      </c>
      <c r="E5" t="s">
        <v>31</v>
      </c>
      <c r="F5" t="s">
        <v>22</v>
      </c>
      <c r="G5">
        <v>3</v>
      </c>
      <c r="H5">
        <v>22000</v>
      </c>
      <c r="I5">
        <v>66000</v>
      </c>
      <c r="J5">
        <v>46200</v>
      </c>
      <c r="K5">
        <v>19800</v>
      </c>
      <c r="L5" t="s">
        <v>32</v>
      </c>
      <c r="M5" t="s">
        <v>18</v>
      </c>
      <c r="O5" t="s">
        <v>85</v>
      </c>
    </row>
    <row r="6" spans="1:20" x14ac:dyDescent="0.35">
      <c r="A6">
        <v>1005</v>
      </c>
      <c r="B6" s="1">
        <v>45303</v>
      </c>
      <c r="C6" t="s">
        <v>13</v>
      </c>
      <c r="D6" t="s">
        <v>14</v>
      </c>
      <c r="E6" t="s">
        <v>15</v>
      </c>
      <c r="F6" t="s">
        <v>16</v>
      </c>
      <c r="G6">
        <v>1</v>
      </c>
      <c r="H6">
        <v>45000</v>
      </c>
      <c r="I6">
        <v>45000</v>
      </c>
      <c r="J6">
        <v>36000</v>
      </c>
      <c r="K6">
        <v>9000</v>
      </c>
      <c r="L6" t="s">
        <v>33</v>
      </c>
      <c r="M6" t="s">
        <v>18</v>
      </c>
      <c r="O6">
        <v>3237600</v>
      </c>
    </row>
    <row r="7" spans="1:20" x14ac:dyDescent="0.35">
      <c r="A7">
        <v>1006</v>
      </c>
      <c r="B7" s="1">
        <v>45306</v>
      </c>
      <c r="C7" t="s">
        <v>34</v>
      </c>
      <c r="D7" t="s">
        <v>20</v>
      </c>
      <c r="E7" t="s">
        <v>35</v>
      </c>
      <c r="F7" t="s">
        <v>16</v>
      </c>
      <c r="G7">
        <v>15</v>
      </c>
      <c r="H7">
        <v>3500</v>
      </c>
      <c r="I7">
        <v>52500</v>
      </c>
      <c r="J7">
        <v>31500</v>
      </c>
      <c r="K7">
        <v>21000</v>
      </c>
      <c r="L7" t="s">
        <v>36</v>
      </c>
      <c r="M7" t="s">
        <v>18</v>
      </c>
    </row>
    <row r="8" spans="1:20" x14ac:dyDescent="0.35">
      <c r="A8">
        <v>1007</v>
      </c>
      <c r="B8" s="1">
        <v>45309</v>
      </c>
      <c r="C8" t="s">
        <v>19</v>
      </c>
      <c r="D8" t="s">
        <v>20</v>
      </c>
      <c r="E8" t="s">
        <v>37</v>
      </c>
      <c r="F8" t="s">
        <v>16</v>
      </c>
      <c r="G8">
        <v>10</v>
      </c>
      <c r="H8">
        <v>2800</v>
      </c>
      <c r="I8">
        <v>28000</v>
      </c>
      <c r="J8">
        <v>16800</v>
      </c>
      <c r="K8">
        <v>11200</v>
      </c>
      <c r="L8" t="s">
        <v>38</v>
      </c>
      <c r="M8" t="s">
        <v>28</v>
      </c>
      <c r="O8" t="s">
        <v>88</v>
      </c>
    </row>
    <row r="9" spans="1:20" x14ac:dyDescent="0.35">
      <c r="A9">
        <v>1008</v>
      </c>
      <c r="B9" s="1">
        <v>45311</v>
      </c>
      <c r="C9" t="s">
        <v>24</v>
      </c>
      <c r="D9" t="s">
        <v>25</v>
      </c>
      <c r="E9" t="s">
        <v>39</v>
      </c>
      <c r="F9" t="s">
        <v>22</v>
      </c>
      <c r="G9">
        <v>4</v>
      </c>
      <c r="H9">
        <v>12000</v>
      </c>
      <c r="I9">
        <v>48000</v>
      </c>
      <c r="J9">
        <v>33600</v>
      </c>
      <c r="K9">
        <v>14400</v>
      </c>
      <c r="L9" t="s">
        <v>40</v>
      </c>
      <c r="M9" t="s">
        <v>18</v>
      </c>
      <c r="O9">
        <v>16690</v>
      </c>
      <c r="R9" t="s">
        <v>88</v>
      </c>
      <c r="S9" t="s">
        <v>85</v>
      </c>
      <c r="T9" t="s">
        <v>90</v>
      </c>
    </row>
    <row r="10" spans="1:20" x14ac:dyDescent="0.35">
      <c r="A10">
        <v>1009</v>
      </c>
      <c r="B10" s="1">
        <v>45313</v>
      </c>
      <c r="C10" t="s">
        <v>29</v>
      </c>
      <c r="D10" t="s">
        <v>30</v>
      </c>
      <c r="E10" t="s">
        <v>41</v>
      </c>
      <c r="F10" t="s">
        <v>16</v>
      </c>
      <c r="G10">
        <v>6</v>
      </c>
      <c r="H10">
        <v>18000</v>
      </c>
      <c r="I10">
        <v>108000</v>
      </c>
      <c r="J10">
        <v>75600</v>
      </c>
      <c r="K10">
        <v>32400</v>
      </c>
      <c r="L10" t="s">
        <v>42</v>
      </c>
      <c r="M10" t="s">
        <v>18</v>
      </c>
      <c r="R10">
        <v>16690</v>
      </c>
      <c r="S10">
        <v>3237600</v>
      </c>
      <c r="T10">
        <v>2301710</v>
      </c>
    </row>
    <row r="11" spans="1:20" x14ac:dyDescent="0.35">
      <c r="A11">
        <v>1010</v>
      </c>
      <c r="B11" s="1">
        <v>45316</v>
      </c>
      <c r="C11" t="s">
        <v>13</v>
      </c>
      <c r="D11" t="s">
        <v>14</v>
      </c>
      <c r="E11" t="s">
        <v>43</v>
      </c>
      <c r="F11" t="s">
        <v>16</v>
      </c>
      <c r="G11">
        <v>3</v>
      </c>
      <c r="H11">
        <v>15000</v>
      </c>
      <c r="I11">
        <v>45000</v>
      </c>
      <c r="J11">
        <v>31500</v>
      </c>
      <c r="K11">
        <v>13500</v>
      </c>
      <c r="L11" t="s">
        <v>44</v>
      </c>
      <c r="M11" t="s">
        <v>18</v>
      </c>
      <c r="O11" t="s">
        <v>89</v>
      </c>
    </row>
    <row r="12" spans="1:20" x14ac:dyDescent="0.35">
      <c r="A12">
        <v>1011</v>
      </c>
      <c r="B12" s="1">
        <v>45319</v>
      </c>
      <c r="C12" t="s">
        <v>34</v>
      </c>
      <c r="D12" t="s">
        <v>20</v>
      </c>
      <c r="E12" t="s">
        <v>15</v>
      </c>
      <c r="F12" t="s">
        <v>16</v>
      </c>
      <c r="G12">
        <v>2</v>
      </c>
      <c r="H12">
        <v>45000</v>
      </c>
      <c r="I12">
        <v>90000</v>
      </c>
      <c r="J12">
        <v>72000</v>
      </c>
      <c r="K12">
        <v>18000</v>
      </c>
      <c r="L12" t="s">
        <v>45</v>
      </c>
      <c r="M12" t="s">
        <v>28</v>
      </c>
      <c r="O12">
        <v>46034.2</v>
      </c>
      <c r="R12">
        <f>GETPIVOTDATA("[Measures].[Average of Unit Price]",$R$9)</f>
        <v>16690</v>
      </c>
      <c r="S12">
        <f>GETPIVOTDATA("[Measures].[Sum of Total Sales]",$S$9)</f>
        <v>3237600</v>
      </c>
      <c r="T12">
        <f>GETPIVOTDATA("[Measures].[Sum of Cost]",$T$9)</f>
        <v>2301710</v>
      </c>
    </row>
    <row r="13" spans="1:20" x14ac:dyDescent="0.35">
      <c r="A13">
        <v>1012</v>
      </c>
      <c r="B13" s="1">
        <v>45323</v>
      </c>
      <c r="C13" t="s">
        <v>19</v>
      </c>
      <c r="D13" t="s">
        <v>20</v>
      </c>
      <c r="E13" t="s">
        <v>21</v>
      </c>
      <c r="F13" t="s">
        <v>22</v>
      </c>
      <c r="G13">
        <v>8</v>
      </c>
      <c r="H13">
        <v>8500</v>
      </c>
      <c r="I13">
        <v>68000</v>
      </c>
      <c r="J13">
        <v>47600</v>
      </c>
      <c r="K13">
        <v>20400</v>
      </c>
      <c r="L13" t="s">
        <v>23</v>
      </c>
      <c r="M13" t="s">
        <v>18</v>
      </c>
    </row>
    <row r="14" spans="1:20" x14ac:dyDescent="0.35">
      <c r="A14">
        <v>1013</v>
      </c>
      <c r="B14" s="1">
        <v>45325</v>
      </c>
      <c r="C14" t="s">
        <v>24</v>
      </c>
      <c r="D14" t="s">
        <v>25</v>
      </c>
      <c r="E14" t="s">
        <v>26</v>
      </c>
      <c r="F14" t="s">
        <v>16</v>
      </c>
      <c r="G14">
        <v>25</v>
      </c>
      <c r="H14">
        <v>1200</v>
      </c>
      <c r="I14">
        <v>30000</v>
      </c>
      <c r="J14">
        <v>18000</v>
      </c>
      <c r="K14">
        <v>12000</v>
      </c>
      <c r="L14" t="s">
        <v>46</v>
      </c>
      <c r="M14" t="s">
        <v>18</v>
      </c>
      <c r="O14" t="s">
        <v>86</v>
      </c>
    </row>
    <row r="15" spans="1:20" x14ac:dyDescent="0.35">
      <c r="A15">
        <v>1014</v>
      </c>
      <c r="B15" s="1">
        <v>45328</v>
      </c>
      <c r="C15" t="s">
        <v>29</v>
      </c>
      <c r="D15" t="s">
        <v>30</v>
      </c>
      <c r="E15" t="s">
        <v>35</v>
      </c>
      <c r="F15" t="s">
        <v>16</v>
      </c>
      <c r="G15">
        <v>10</v>
      </c>
      <c r="H15">
        <v>3500</v>
      </c>
      <c r="I15">
        <v>35000</v>
      </c>
      <c r="J15">
        <v>21000</v>
      </c>
      <c r="K15">
        <v>14000</v>
      </c>
      <c r="L15" t="s">
        <v>32</v>
      </c>
      <c r="M15" t="s">
        <v>18</v>
      </c>
      <c r="O15">
        <v>935890</v>
      </c>
    </row>
    <row r="16" spans="1:20" x14ac:dyDescent="0.35">
      <c r="A16">
        <v>1015</v>
      </c>
      <c r="B16" s="1">
        <v>45330</v>
      </c>
      <c r="C16" t="s">
        <v>13</v>
      </c>
      <c r="D16" t="s">
        <v>14</v>
      </c>
      <c r="E16" t="s">
        <v>31</v>
      </c>
      <c r="F16" t="s">
        <v>22</v>
      </c>
      <c r="G16">
        <v>2</v>
      </c>
      <c r="H16">
        <v>22000</v>
      </c>
      <c r="I16">
        <v>44000</v>
      </c>
      <c r="J16">
        <v>30800</v>
      </c>
      <c r="K16">
        <v>13200</v>
      </c>
      <c r="L16" t="s">
        <v>47</v>
      </c>
      <c r="M16" t="s">
        <v>18</v>
      </c>
    </row>
    <row r="17" spans="1:13" x14ac:dyDescent="0.35">
      <c r="A17">
        <v>1016</v>
      </c>
      <c r="B17" s="1">
        <v>45332</v>
      </c>
      <c r="C17" t="s">
        <v>34</v>
      </c>
      <c r="D17" t="s">
        <v>20</v>
      </c>
      <c r="E17" t="s">
        <v>41</v>
      </c>
      <c r="F17" t="s">
        <v>16</v>
      </c>
      <c r="G17">
        <v>4</v>
      </c>
      <c r="H17">
        <v>18000</v>
      </c>
      <c r="I17">
        <v>72000</v>
      </c>
      <c r="J17">
        <v>50400</v>
      </c>
      <c r="K17">
        <v>21600</v>
      </c>
      <c r="L17" t="s">
        <v>48</v>
      </c>
      <c r="M17" t="s">
        <v>28</v>
      </c>
    </row>
    <row r="18" spans="1:13" x14ac:dyDescent="0.35">
      <c r="A18">
        <v>1017</v>
      </c>
      <c r="B18" s="1">
        <v>45335</v>
      </c>
      <c r="C18" t="s">
        <v>19</v>
      </c>
      <c r="D18" t="s">
        <v>20</v>
      </c>
      <c r="E18" t="s">
        <v>37</v>
      </c>
      <c r="F18" t="s">
        <v>16</v>
      </c>
      <c r="G18">
        <v>12</v>
      </c>
      <c r="H18">
        <v>2800</v>
      </c>
      <c r="I18">
        <v>33600</v>
      </c>
      <c r="J18">
        <v>20160</v>
      </c>
      <c r="K18">
        <v>13440</v>
      </c>
      <c r="L18" t="s">
        <v>49</v>
      </c>
      <c r="M18" t="s">
        <v>18</v>
      </c>
    </row>
    <row r="19" spans="1:13" x14ac:dyDescent="0.35">
      <c r="A19">
        <v>1018</v>
      </c>
      <c r="B19" s="1">
        <v>45337</v>
      </c>
      <c r="C19" t="s">
        <v>24</v>
      </c>
      <c r="D19" t="s">
        <v>25</v>
      </c>
      <c r="E19" t="s">
        <v>15</v>
      </c>
      <c r="F19" t="s">
        <v>16</v>
      </c>
      <c r="G19">
        <v>3</v>
      </c>
      <c r="H19">
        <v>45000</v>
      </c>
      <c r="I19">
        <v>135000</v>
      </c>
      <c r="J19">
        <v>108000</v>
      </c>
      <c r="K19">
        <v>27000</v>
      </c>
      <c r="L19" t="s">
        <v>50</v>
      </c>
      <c r="M19" t="s">
        <v>18</v>
      </c>
    </row>
    <row r="20" spans="1:13" x14ac:dyDescent="0.35">
      <c r="A20">
        <v>1019</v>
      </c>
      <c r="B20" s="1">
        <v>45340</v>
      </c>
      <c r="C20" t="s">
        <v>29</v>
      </c>
      <c r="D20" t="s">
        <v>30</v>
      </c>
      <c r="E20" t="s">
        <v>39</v>
      </c>
      <c r="F20" t="s">
        <v>22</v>
      </c>
      <c r="G20">
        <v>6</v>
      </c>
      <c r="H20">
        <v>12000</v>
      </c>
      <c r="I20">
        <v>72000</v>
      </c>
      <c r="J20">
        <v>50400</v>
      </c>
      <c r="K20">
        <v>21600</v>
      </c>
      <c r="L20" t="s">
        <v>51</v>
      </c>
      <c r="M20" t="s">
        <v>18</v>
      </c>
    </row>
    <row r="21" spans="1:13" x14ac:dyDescent="0.35">
      <c r="A21">
        <v>1020</v>
      </c>
      <c r="B21" s="1">
        <v>45342</v>
      </c>
      <c r="C21" t="s">
        <v>13</v>
      </c>
      <c r="D21" t="s">
        <v>14</v>
      </c>
      <c r="E21" t="s">
        <v>43</v>
      </c>
      <c r="F21" t="s">
        <v>16</v>
      </c>
      <c r="G21">
        <v>2</v>
      </c>
      <c r="H21">
        <v>15000</v>
      </c>
      <c r="I21">
        <v>30000</v>
      </c>
      <c r="J21">
        <v>21000</v>
      </c>
      <c r="K21">
        <v>9000</v>
      </c>
      <c r="L21" t="s">
        <v>52</v>
      </c>
      <c r="M21" t="s">
        <v>18</v>
      </c>
    </row>
    <row r="22" spans="1:13" x14ac:dyDescent="0.35">
      <c r="A22">
        <v>1021</v>
      </c>
      <c r="B22" s="1">
        <v>45344</v>
      </c>
      <c r="C22" t="s">
        <v>34</v>
      </c>
      <c r="D22" t="s">
        <v>20</v>
      </c>
      <c r="E22" t="s">
        <v>21</v>
      </c>
      <c r="F22" t="s">
        <v>22</v>
      </c>
      <c r="G22">
        <v>10</v>
      </c>
      <c r="H22">
        <v>8500</v>
      </c>
      <c r="I22">
        <v>85000</v>
      </c>
      <c r="J22">
        <v>59500</v>
      </c>
      <c r="K22">
        <v>25500</v>
      </c>
      <c r="L22" t="s">
        <v>53</v>
      </c>
      <c r="M22" t="s">
        <v>18</v>
      </c>
    </row>
    <row r="23" spans="1:13" x14ac:dyDescent="0.35">
      <c r="A23">
        <v>1022</v>
      </c>
      <c r="B23" s="1">
        <v>45347</v>
      </c>
      <c r="C23" t="s">
        <v>19</v>
      </c>
      <c r="D23" t="s">
        <v>20</v>
      </c>
      <c r="E23" t="s">
        <v>26</v>
      </c>
      <c r="F23" t="s">
        <v>16</v>
      </c>
      <c r="G23">
        <v>30</v>
      </c>
      <c r="H23">
        <v>1200</v>
      </c>
      <c r="I23">
        <v>36000</v>
      </c>
      <c r="J23">
        <v>21600</v>
      </c>
      <c r="K23">
        <v>14400</v>
      </c>
      <c r="L23" t="s">
        <v>54</v>
      </c>
      <c r="M23" t="s">
        <v>28</v>
      </c>
    </row>
    <row r="24" spans="1:13" x14ac:dyDescent="0.35">
      <c r="A24">
        <v>1023</v>
      </c>
      <c r="B24" s="1">
        <v>45350</v>
      </c>
      <c r="C24" t="s">
        <v>24</v>
      </c>
      <c r="D24" t="s">
        <v>25</v>
      </c>
      <c r="E24" t="s">
        <v>41</v>
      </c>
      <c r="F24" t="s">
        <v>16</v>
      </c>
      <c r="G24">
        <v>5</v>
      </c>
      <c r="H24">
        <v>18000</v>
      </c>
      <c r="I24">
        <v>90000</v>
      </c>
      <c r="J24">
        <v>63000</v>
      </c>
      <c r="K24">
        <v>27000</v>
      </c>
      <c r="L24" t="s">
        <v>55</v>
      </c>
      <c r="M24" t="s">
        <v>18</v>
      </c>
    </row>
    <row r="25" spans="1:13" x14ac:dyDescent="0.35">
      <c r="A25">
        <v>1024</v>
      </c>
      <c r="B25" s="1">
        <v>45353</v>
      </c>
      <c r="C25" t="s">
        <v>29</v>
      </c>
      <c r="D25" t="s">
        <v>30</v>
      </c>
      <c r="E25" t="s">
        <v>15</v>
      </c>
      <c r="F25" t="s">
        <v>16</v>
      </c>
      <c r="G25">
        <v>2</v>
      </c>
      <c r="H25">
        <v>45000</v>
      </c>
      <c r="I25">
        <v>90000</v>
      </c>
      <c r="J25">
        <v>72000</v>
      </c>
      <c r="K25">
        <v>18000</v>
      </c>
      <c r="L25" t="s">
        <v>56</v>
      </c>
      <c r="M25" t="s">
        <v>18</v>
      </c>
    </row>
    <row r="26" spans="1:13" x14ac:dyDescent="0.35">
      <c r="A26">
        <v>1025</v>
      </c>
      <c r="B26" s="1">
        <v>45356</v>
      </c>
      <c r="C26" t="s">
        <v>13</v>
      </c>
      <c r="D26" t="s">
        <v>14</v>
      </c>
      <c r="E26" t="s">
        <v>35</v>
      </c>
      <c r="F26" t="s">
        <v>16</v>
      </c>
      <c r="G26">
        <v>8</v>
      </c>
      <c r="H26">
        <v>3500</v>
      </c>
      <c r="I26">
        <v>28000</v>
      </c>
      <c r="J26">
        <v>16800</v>
      </c>
      <c r="K26">
        <v>11200</v>
      </c>
      <c r="L26" t="s">
        <v>57</v>
      </c>
      <c r="M26" t="s">
        <v>18</v>
      </c>
    </row>
    <row r="27" spans="1:13" x14ac:dyDescent="0.35">
      <c r="A27">
        <v>1026</v>
      </c>
      <c r="B27" s="1">
        <v>45358</v>
      </c>
      <c r="C27" t="s">
        <v>34</v>
      </c>
      <c r="D27" t="s">
        <v>20</v>
      </c>
      <c r="E27" t="s">
        <v>31</v>
      </c>
      <c r="F27" t="s">
        <v>22</v>
      </c>
      <c r="G27">
        <v>4</v>
      </c>
      <c r="H27">
        <v>22000</v>
      </c>
      <c r="I27">
        <v>88000</v>
      </c>
      <c r="J27">
        <v>61600</v>
      </c>
      <c r="K27">
        <v>26400</v>
      </c>
      <c r="L27" t="s">
        <v>58</v>
      </c>
      <c r="M27" t="s">
        <v>28</v>
      </c>
    </row>
    <row r="28" spans="1:13" x14ac:dyDescent="0.35">
      <c r="A28">
        <v>1027</v>
      </c>
      <c r="B28" s="1">
        <v>45361</v>
      </c>
      <c r="C28" t="s">
        <v>19</v>
      </c>
      <c r="D28" t="s">
        <v>20</v>
      </c>
      <c r="E28" t="s">
        <v>37</v>
      </c>
      <c r="F28" t="s">
        <v>16</v>
      </c>
      <c r="G28">
        <v>15</v>
      </c>
      <c r="H28">
        <v>2800</v>
      </c>
      <c r="I28">
        <v>42000</v>
      </c>
      <c r="J28">
        <v>25200</v>
      </c>
      <c r="K28">
        <v>16800</v>
      </c>
      <c r="L28" t="s">
        <v>59</v>
      </c>
      <c r="M28" t="s">
        <v>18</v>
      </c>
    </row>
    <row r="29" spans="1:13" x14ac:dyDescent="0.35">
      <c r="A29">
        <v>1028</v>
      </c>
      <c r="B29" s="1">
        <v>45364</v>
      </c>
      <c r="C29" t="s">
        <v>24</v>
      </c>
      <c r="D29" t="s">
        <v>25</v>
      </c>
      <c r="E29" t="s">
        <v>43</v>
      </c>
      <c r="F29" t="s">
        <v>16</v>
      </c>
      <c r="G29">
        <v>4</v>
      </c>
      <c r="H29">
        <v>15000</v>
      </c>
      <c r="I29">
        <v>60000</v>
      </c>
      <c r="J29">
        <v>42000</v>
      </c>
      <c r="K29">
        <v>18000</v>
      </c>
      <c r="L29" t="s">
        <v>60</v>
      </c>
      <c r="M29" t="s">
        <v>18</v>
      </c>
    </row>
    <row r="30" spans="1:13" x14ac:dyDescent="0.35">
      <c r="A30">
        <v>1029</v>
      </c>
      <c r="B30" s="1">
        <v>45366</v>
      </c>
      <c r="C30" t="s">
        <v>29</v>
      </c>
      <c r="D30" t="s">
        <v>30</v>
      </c>
      <c r="E30" t="s">
        <v>21</v>
      </c>
      <c r="F30" t="s">
        <v>22</v>
      </c>
      <c r="G30">
        <v>7</v>
      </c>
      <c r="H30">
        <v>8500</v>
      </c>
      <c r="I30">
        <v>59500</v>
      </c>
      <c r="J30">
        <v>41650</v>
      </c>
      <c r="K30">
        <v>17850</v>
      </c>
      <c r="L30" t="s">
        <v>32</v>
      </c>
      <c r="M30" t="s">
        <v>18</v>
      </c>
    </row>
    <row r="31" spans="1:13" x14ac:dyDescent="0.35">
      <c r="A31">
        <v>1030</v>
      </c>
      <c r="B31" s="1">
        <v>45369</v>
      </c>
      <c r="C31" t="s">
        <v>13</v>
      </c>
      <c r="D31" t="s">
        <v>14</v>
      </c>
      <c r="E31" t="s">
        <v>41</v>
      </c>
      <c r="F31" t="s">
        <v>16</v>
      </c>
      <c r="G31">
        <v>3</v>
      </c>
      <c r="H31">
        <v>18000</v>
      </c>
      <c r="I31">
        <v>54000</v>
      </c>
      <c r="J31">
        <v>37800</v>
      </c>
      <c r="K31">
        <v>16200</v>
      </c>
      <c r="L31" t="s">
        <v>61</v>
      </c>
      <c r="M31" t="s">
        <v>18</v>
      </c>
    </row>
    <row r="32" spans="1:13" x14ac:dyDescent="0.35">
      <c r="A32">
        <v>1031</v>
      </c>
      <c r="B32" s="1">
        <v>45371</v>
      </c>
      <c r="C32" t="s">
        <v>34</v>
      </c>
      <c r="D32" t="s">
        <v>20</v>
      </c>
      <c r="E32" t="s">
        <v>15</v>
      </c>
      <c r="F32" t="s">
        <v>16</v>
      </c>
      <c r="G32">
        <v>4</v>
      </c>
      <c r="H32">
        <v>45000</v>
      </c>
      <c r="I32">
        <v>180000</v>
      </c>
      <c r="J32">
        <v>144000</v>
      </c>
      <c r="K32">
        <v>36000</v>
      </c>
      <c r="L32" t="s">
        <v>62</v>
      </c>
      <c r="M32" t="s">
        <v>18</v>
      </c>
    </row>
    <row r="33" spans="1:13" x14ac:dyDescent="0.35">
      <c r="A33">
        <v>1032</v>
      </c>
      <c r="B33" s="1">
        <v>45373</v>
      </c>
      <c r="C33" t="s">
        <v>19</v>
      </c>
      <c r="D33" t="s">
        <v>20</v>
      </c>
      <c r="E33" t="s">
        <v>39</v>
      </c>
      <c r="F33" t="s">
        <v>22</v>
      </c>
      <c r="G33">
        <v>5</v>
      </c>
      <c r="H33">
        <v>12000</v>
      </c>
      <c r="I33">
        <v>60000</v>
      </c>
      <c r="J33">
        <v>42000</v>
      </c>
      <c r="K33">
        <v>18000</v>
      </c>
      <c r="L33" t="s">
        <v>63</v>
      </c>
      <c r="M33" t="s">
        <v>28</v>
      </c>
    </row>
    <row r="34" spans="1:13" x14ac:dyDescent="0.35">
      <c r="A34">
        <v>1033</v>
      </c>
      <c r="B34" s="1">
        <v>45376</v>
      </c>
      <c r="C34" t="s">
        <v>24</v>
      </c>
      <c r="D34" t="s">
        <v>25</v>
      </c>
      <c r="E34" t="s">
        <v>26</v>
      </c>
      <c r="F34" t="s">
        <v>16</v>
      </c>
      <c r="G34">
        <v>18</v>
      </c>
      <c r="H34">
        <v>1200</v>
      </c>
      <c r="I34">
        <v>21600</v>
      </c>
      <c r="J34">
        <v>12960</v>
      </c>
      <c r="K34">
        <v>8640</v>
      </c>
      <c r="L34" t="s">
        <v>64</v>
      </c>
      <c r="M34" t="s">
        <v>18</v>
      </c>
    </row>
    <row r="35" spans="1:13" x14ac:dyDescent="0.35">
      <c r="A35">
        <v>1034</v>
      </c>
      <c r="B35" s="1">
        <v>45379</v>
      </c>
      <c r="C35" t="s">
        <v>29</v>
      </c>
      <c r="D35" t="s">
        <v>30</v>
      </c>
      <c r="E35" t="s">
        <v>35</v>
      </c>
      <c r="F35" t="s">
        <v>16</v>
      </c>
      <c r="G35">
        <v>12</v>
      </c>
      <c r="H35">
        <v>3500</v>
      </c>
      <c r="I35">
        <v>42000</v>
      </c>
      <c r="J35">
        <v>25200</v>
      </c>
      <c r="K35">
        <v>16800</v>
      </c>
      <c r="L35" t="s">
        <v>65</v>
      </c>
      <c r="M35" t="s">
        <v>18</v>
      </c>
    </row>
    <row r="36" spans="1:13" x14ac:dyDescent="0.35">
      <c r="A36">
        <v>1035</v>
      </c>
      <c r="B36" s="1">
        <v>45383</v>
      </c>
      <c r="C36" t="s">
        <v>13</v>
      </c>
      <c r="D36" t="s">
        <v>14</v>
      </c>
      <c r="E36" t="s">
        <v>31</v>
      </c>
      <c r="F36" t="s">
        <v>22</v>
      </c>
      <c r="G36">
        <v>3</v>
      </c>
      <c r="H36">
        <v>22000</v>
      </c>
      <c r="I36">
        <v>66000</v>
      </c>
      <c r="J36">
        <v>46200</v>
      </c>
      <c r="K36">
        <v>19800</v>
      </c>
      <c r="L36" t="s">
        <v>66</v>
      </c>
      <c r="M36" t="s">
        <v>18</v>
      </c>
    </row>
    <row r="37" spans="1:13" x14ac:dyDescent="0.35">
      <c r="A37">
        <v>1036</v>
      </c>
      <c r="B37" s="1">
        <v>45386</v>
      </c>
      <c r="C37" t="s">
        <v>34</v>
      </c>
      <c r="D37" t="s">
        <v>20</v>
      </c>
      <c r="E37" t="s">
        <v>37</v>
      </c>
      <c r="F37" t="s">
        <v>16</v>
      </c>
      <c r="G37">
        <v>20</v>
      </c>
      <c r="H37">
        <v>2800</v>
      </c>
      <c r="I37">
        <v>56000</v>
      </c>
      <c r="J37">
        <v>33600</v>
      </c>
      <c r="K37">
        <v>22400</v>
      </c>
      <c r="L37" t="s">
        <v>36</v>
      </c>
      <c r="M37" t="s">
        <v>18</v>
      </c>
    </row>
    <row r="38" spans="1:13" x14ac:dyDescent="0.35">
      <c r="A38">
        <v>1037</v>
      </c>
      <c r="B38" s="1">
        <v>45389</v>
      </c>
      <c r="C38" t="s">
        <v>19</v>
      </c>
      <c r="D38" t="s">
        <v>20</v>
      </c>
      <c r="E38" t="s">
        <v>15</v>
      </c>
      <c r="F38" t="s">
        <v>16</v>
      </c>
      <c r="G38">
        <v>2</v>
      </c>
      <c r="H38">
        <v>45000</v>
      </c>
      <c r="I38">
        <v>90000</v>
      </c>
      <c r="J38">
        <v>72000</v>
      </c>
      <c r="K38">
        <v>18000</v>
      </c>
      <c r="L38" t="s">
        <v>67</v>
      </c>
      <c r="M38" t="s">
        <v>18</v>
      </c>
    </row>
    <row r="39" spans="1:13" x14ac:dyDescent="0.35">
      <c r="A39">
        <v>1038</v>
      </c>
      <c r="B39" s="1">
        <v>45391</v>
      </c>
      <c r="C39" t="s">
        <v>24</v>
      </c>
      <c r="D39" t="s">
        <v>25</v>
      </c>
      <c r="E39" t="s">
        <v>43</v>
      </c>
      <c r="F39" t="s">
        <v>16</v>
      </c>
      <c r="G39">
        <v>5</v>
      </c>
      <c r="H39">
        <v>15000</v>
      </c>
      <c r="I39">
        <v>75000</v>
      </c>
      <c r="J39">
        <v>52500</v>
      </c>
      <c r="K39">
        <v>22500</v>
      </c>
      <c r="L39" t="s">
        <v>68</v>
      </c>
      <c r="M39" t="s">
        <v>28</v>
      </c>
    </row>
    <row r="40" spans="1:13" x14ac:dyDescent="0.35">
      <c r="A40">
        <v>1039</v>
      </c>
      <c r="B40" s="1">
        <v>45394</v>
      </c>
      <c r="C40" t="s">
        <v>29</v>
      </c>
      <c r="D40" t="s">
        <v>30</v>
      </c>
      <c r="E40" t="s">
        <v>41</v>
      </c>
      <c r="F40" t="s">
        <v>16</v>
      </c>
      <c r="G40">
        <v>4</v>
      </c>
      <c r="H40">
        <v>18000</v>
      </c>
      <c r="I40">
        <v>72000</v>
      </c>
      <c r="J40">
        <v>50400</v>
      </c>
      <c r="K40">
        <v>21600</v>
      </c>
      <c r="L40" t="s">
        <v>69</v>
      </c>
      <c r="M40" t="s">
        <v>18</v>
      </c>
    </row>
    <row r="41" spans="1:13" x14ac:dyDescent="0.35">
      <c r="A41">
        <v>1040</v>
      </c>
      <c r="B41" s="1">
        <v>45397</v>
      </c>
      <c r="C41" t="s">
        <v>13</v>
      </c>
      <c r="D41" t="s">
        <v>14</v>
      </c>
      <c r="E41" t="s">
        <v>21</v>
      </c>
      <c r="F41" t="s">
        <v>22</v>
      </c>
      <c r="G41">
        <v>6</v>
      </c>
      <c r="H41">
        <v>8500</v>
      </c>
      <c r="I41">
        <v>51000</v>
      </c>
      <c r="J41">
        <v>35700</v>
      </c>
      <c r="K41">
        <v>15300</v>
      </c>
      <c r="L41" t="s">
        <v>70</v>
      </c>
      <c r="M41" t="s">
        <v>18</v>
      </c>
    </row>
    <row r="42" spans="1:13" x14ac:dyDescent="0.35">
      <c r="A42">
        <v>1041</v>
      </c>
      <c r="B42" s="1">
        <v>45400</v>
      </c>
      <c r="C42" t="s">
        <v>34</v>
      </c>
      <c r="D42" t="s">
        <v>20</v>
      </c>
      <c r="E42" t="s">
        <v>39</v>
      </c>
      <c r="F42" t="s">
        <v>22</v>
      </c>
      <c r="G42">
        <v>8</v>
      </c>
      <c r="H42">
        <v>12000</v>
      </c>
      <c r="I42">
        <v>96000</v>
      </c>
      <c r="J42">
        <v>67200</v>
      </c>
      <c r="K42">
        <v>28800</v>
      </c>
      <c r="L42" t="s">
        <v>71</v>
      </c>
      <c r="M42" t="s">
        <v>18</v>
      </c>
    </row>
    <row r="43" spans="1:13" x14ac:dyDescent="0.35">
      <c r="A43">
        <v>1042</v>
      </c>
      <c r="B43" s="1">
        <v>45402</v>
      </c>
      <c r="C43" t="s">
        <v>19</v>
      </c>
      <c r="D43" t="s">
        <v>20</v>
      </c>
      <c r="E43" t="s">
        <v>35</v>
      </c>
      <c r="F43" t="s">
        <v>16</v>
      </c>
      <c r="G43">
        <v>18</v>
      </c>
      <c r="H43">
        <v>3500</v>
      </c>
      <c r="I43">
        <v>63000</v>
      </c>
      <c r="J43">
        <v>37800</v>
      </c>
      <c r="K43">
        <v>25200</v>
      </c>
      <c r="L43" t="s">
        <v>72</v>
      </c>
      <c r="M43" t="s">
        <v>18</v>
      </c>
    </row>
    <row r="44" spans="1:13" x14ac:dyDescent="0.35">
      <c r="A44">
        <v>1043</v>
      </c>
      <c r="B44" s="1">
        <v>45405</v>
      </c>
      <c r="C44" t="s">
        <v>24</v>
      </c>
      <c r="D44" t="s">
        <v>25</v>
      </c>
      <c r="E44" t="s">
        <v>15</v>
      </c>
      <c r="F44" t="s">
        <v>16</v>
      </c>
      <c r="G44">
        <v>1</v>
      </c>
      <c r="H44">
        <v>45000</v>
      </c>
      <c r="I44">
        <v>45000</v>
      </c>
      <c r="J44">
        <v>36000</v>
      </c>
      <c r="K44">
        <v>9000</v>
      </c>
      <c r="L44" t="s">
        <v>73</v>
      </c>
      <c r="M44" t="s">
        <v>28</v>
      </c>
    </row>
    <row r="45" spans="1:13" x14ac:dyDescent="0.35">
      <c r="A45">
        <v>1044</v>
      </c>
      <c r="B45" s="1">
        <v>45408</v>
      </c>
      <c r="C45" t="s">
        <v>29</v>
      </c>
      <c r="D45" t="s">
        <v>30</v>
      </c>
      <c r="E45" t="s">
        <v>26</v>
      </c>
      <c r="F45" t="s">
        <v>16</v>
      </c>
      <c r="G45">
        <v>22</v>
      </c>
      <c r="H45">
        <v>1200</v>
      </c>
      <c r="I45">
        <v>26400</v>
      </c>
      <c r="J45">
        <v>15840</v>
      </c>
      <c r="K45">
        <v>10560</v>
      </c>
      <c r="L45" t="s">
        <v>74</v>
      </c>
      <c r="M45" t="s">
        <v>18</v>
      </c>
    </row>
    <row r="46" spans="1:13" x14ac:dyDescent="0.35">
      <c r="A46">
        <v>1045</v>
      </c>
      <c r="B46" s="1">
        <v>45411</v>
      </c>
      <c r="C46" t="s">
        <v>13</v>
      </c>
      <c r="D46" t="s">
        <v>14</v>
      </c>
      <c r="E46" t="s">
        <v>37</v>
      </c>
      <c r="F46" t="s">
        <v>16</v>
      </c>
      <c r="G46">
        <v>10</v>
      </c>
      <c r="H46">
        <v>2800</v>
      </c>
      <c r="I46">
        <v>28000</v>
      </c>
      <c r="J46">
        <v>16800</v>
      </c>
      <c r="K46">
        <v>11200</v>
      </c>
      <c r="L46" t="s">
        <v>75</v>
      </c>
      <c r="M46" t="s">
        <v>18</v>
      </c>
    </row>
    <row r="47" spans="1:13" x14ac:dyDescent="0.35">
      <c r="A47">
        <v>1046</v>
      </c>
      <c r="B47" s="1">
        <v>45414</v>
      </c>
      <c r="C47" t="s">
        <v>34</v>
      </c>
      <c r="D47" t="s">
        <v>20</v>
      </c>
      <c r="E47" t="s">
        <v>31</v>
      </c>
      <c r="F47" t="s">
        <v>22</v>
      </c>
      <c r="G47">
        <v>5</v>
      </c>
      <c r="H47">
        <v>22000</v>
      </c>
      <c r="I47">
        <v>110000</v>
      </c>
      <c r="J47">
        <v>77000</v>
      </c>
      <c r="K47">
        <v>33000</v>
      </c>
      <c r="L47" t="s">
        <v>76</v>
      </c>
      <c r="M47" t="s">
        <v>18</v>
      </c>
    </row>
    <row r="48" spans="1:13" x14ac:dyDescent="0.35">
      <c r="A48">
        <v>1047</v>
      </c>
      <c r="B48" s="1">
        <v>45417</v>
      </c>
      <c r="C48" t="s">
        <v>19</v>
      </c>
      <c r="D48" t="s">
        <v>20</v>
      </c>
      <c r="E48" t="s">
        <v>41</v>
      </c>
      <c r="F48" t="s">
        <v>16</v>
      </c>
      <c r="G48">
        <v>6</v>
      </c>
      <c r="H48">
        <v>18000</v>
      </c>
      <c r="I48">
        <v>108000</v>
      </c>
      <c r="J48">
        <v>75600</v>
      </c>
      <c r="K48">
        <v>32400</v>
      </c>
      <c r="L48" t="s">
        <v>63</v>
      </c>
      <c r="M48" t="s">
        <v>18</v>
      </c>
    </row>
    <row r="49" spans="1:13" x14ac:dyDescent="0.35">
      <c r="A49">
        <v>1048</v>
      </c>
      <c r="B49" s="1">
        <v>45420</v>
      </c>
      <c r="C49" t="s">
        <v>24</v>
      </c>
      <c r="D49" t="s">
        <v>25</v>
      </c>
      <c r="E49" t="s">
        <v>21</v>
      </c>
      <c r="F49" t="s">
        <v>22</v>
      </c>
      <c r="G49">
        <v>9</v>
      </c>
      <c r="H49">
        <v>8500</v>
      </c>
      <c r="I49">
        <v>76500</v>
      </c>
      <c r="J49">
        <v>53550</v>
      </c>
      <c r="K49">
        <v>22950</v>
      </c>
      <c r="L49" t="s">
        <v>50</v>
      </c>
      <c r="M49" t="s">
        <v>28</v>
      </c>
    </row>
    <row r="50" spans="1:13" x14ac:dyDescent="0.35">
      <c r="A50">
        <v>1049</v>
      </c>
      <c r="B50" s="1">
        <v>45423</v>
      </c>
      <c r="C50" t="s">
        <v>29</v>
      </c>
      <c r="D50" t="s">
        <v>30</v>
      </c>
      <c r="E50" t="s">
        <v>43</v>
      </c>
      <c r="F50" t="s">
        <v>16</v>
      </c>
      <c r="G50">
        <v>3</v>
      </c>
      <c r="H50">
        <v>15000</v>
      </c>
      <c r="I50">
        <v>45000</v>
      </c>
      <c r="J50">
        <v>31500</v>
      </c>
      <c r="K50">
        <v>13500</v>
      </c>
      <c r="L50" t="s">
        <v>42</v>
      </c>
      <c r="M50" t="s">
        <v>18</v>
      </c>
    </row>
    <row r="51" spans="1:13" x14ac:dyDescent="0.35">
      <c r="A51">
        <v>1050</v>
      </c>
      <c r="B51" s="1">
        <v>45426</v>
      </c>
      <c r="C51" t="s">
        <v>13</v>
      </c>
      <c r="D51" t="s">
        <v>14</v>
      </c>
      <c r="E51" t="s">
        <v>15</v>
      </c>
      <c r="F51" t="s">
        <v>16</v>
      </c>
      <c r="G51">
        <v>3</v>
      </c>
      <c r="H51">
        <v>45000</v>
      </c>
      <c r="I51">
        <v>135000</v>
      </c>
      <c r="J51">
        <v>108000</v>
      </c>
      <c r="K51">
        <v>27000</v>
      </c>
      <c r="L51" t="s">
        <v>77</v>
      </c>
      <c r="M5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MONTH WISE REVENUE</vt:lpstr>
      <vt:lpstr>SALES PERSON WISE SALES </vt:lpstr>
      <vt:lpstr>REGION WISE PROFIT</vt:lpstr>
      <vt:lpstr>PERFORMACE OF PRODUCT</vt:lpstr>
      <vt:lpstr>DASHBOARD</vt:lpstr>
      <vt:lpstr>PRICING REGIONWISE</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Narottamsingh Rajawat</cp:lastModifiedBy>
  <dcterms:created xsi:type="dcterms:W3CDTF">2026-06-25T07:45:04Z</dcterms:created>
  <dcterms:modified xsi:type="dcterms:W3CDTF">2026-08-04T03:32:55Z</dcterms:modified>
</cp:coreProperties>
</file>